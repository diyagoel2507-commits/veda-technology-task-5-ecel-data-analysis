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arm\Documents\"/>
    </mc:Choice>
  </mc:AlternateContent>
  <xr:revisionPtr revIDLastSave="0" documentId="13_ncr:1_{88D03920-DB9A-45A2-A1E8-5862BE2FB769}" xr6:coauthVersionLast="47" xr6:coauthVersionMax="47" xr10:uidLastSave="{00000000-0000-0000-0000-000000000000}"/>
  <bookViews>
    <workbookView xWindow="-110" yWindow="-110" windowWidth="19420" windowHeight="10300" xr2:uid="{C11B1572-6BF5-4C2D-92B6-9CDCCA840FC3}"/>
  </bookViews>
  <sheets>
    <sheet name="Raw_Data" sheetId="1" r:id="rId1"/>
    <sheet name="Pivot_Analysis" sheetId="4" r:id="rId2"/>
    <sheet name="Working_Formula" sheetId="2" r:id="rId3"/>
    <sheet name="Dashboard" sheetId="6" r:id="rId4"/>
    <sheet name="Summary" sheetId="3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3" l="1"/>
  <c r="E6" i="3"/>
  <c r="E5" i="3"/>
  <c r="B10" i="3"/>
  <c r="B9" i="3"/>
  <c r="B8" i="3"/>
  <c r="B7" i="3"/>
  <c r="B6" i="3"/>
  <c r="B5" i="3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B11" i="3" l="1"/>
</calcChain>
</file>

<file path=xl/sharedStrings.xml><?xml version="1.0" encoding="utf-8"?>
<sst xmlns="http://schemas.openxmlformats.org/spreadsheetml/2006/main" count="563" uniqueCount="129">
  <si>
    <t>Order ID</t>
  </si>
  <si>
    <t>Order Date</t>
  </si>
  <si>
    <t>Region</t>
  </si>
  <si>
    <t>Category</t>
  </si>
  <si>
    <t>Product</t>
  </si>
  <si>
    <t>Quantity</t>
  </si>
  <si>
    <t>Unit Price</t>
  </si>
  <si>
    <t>Discount</t>
  </si>
  <si>
    <t>ORD001</t>
  </si>
  <si>
    <t>North</t>
  </si>
  <si>
    <t>Electronics</t>
  </si>
  <si>
    <t>Wireless Headphones</t>
  </si>
  <si>
    <t>ORD002</t>
  </si>
  <si>
    <t>South</t>
  </si>
  <si>
    <t>Furniture</t>
  </si>
  <si>
    <t>Office Chair</t>
  </si>
  <si>
    <t>ORD003</t>
  </si>
  <si>
    <t>East</t>
  </si>
  <si>
    <t>Office Supplies</t>
  </si>
  <si>
    <t>Notebook</t>
  </si>
  <si>
    <t>ORD004</t>
  </si>
  <si>
    <t>West</t>
  </si>
  <si>
    <t>Clothing</t>
  </si>
  <si>
    <t>T-Shirt</t>
  </si>
  <si>
    <t>ORD005</t>
  </si>
  <si>
    <t>Smart Watch</t>
  </si>
  <si>
    <t>ORD006</t>
  </si>
  <si>
    <t>Jeans</t>
  </si>
  <si>
    <t>ORD007</t>
  </si>
  <si>
    <t>Study Table</t>
  </si>
  <si>
    <t>ORD008</t>
  </si>
  <si>
    <t>Bluetooth Speaker</t>
  </si>
  <si>
    <t>ORD009</t>
  </si>
  <si>
    <t>Pen Set</t>
  </si>
  <si>
    <t>ORD010</t>
  </si>
  <si>
    <t>Jacket</t>
  </si>
  <si>
    <t>ORD011</t>
  </si>
  <si>
    <t>Keyboard</t>
  </si>
  <si>
    <t>ORD012</t>
  </si>
  <si>
    <t>Bookshelf</t>
  </si>
  <si>
    <t>ORD013</t>
  </si>
  <si>
    <t>Backpack</t>
  </si>
  <si>
    <t>ORD014</t>
  </si>
  <si>
    <t>ORD015</t>
  </si>
  <si>
    <t>Calculator</t>
  </si>
  <si>
    <t>ORD016</t>
  </si>
  <si>
    <t>ORD017</t>
  </si>
  <si>
    <t>ORD018</t>
  </si>
  <si>
    <t>ORD019</t>
  </si>
  <si>
    <t>ORD020</t>
  </si>
  <si>
    <t>File Folder</t>
  </si>
  <si>
    <t>ORD021</t>
  </si>
  <si>
    <t>ORD022</t>
  </si>
  <si>
    <t>ORD023</t>
  </si>
  <si>
    <t>ORD024</t>
  </si>
  <si>
    <t>Desk Lamp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</si>
  <si>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</si>
  <si>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</si>
  <si>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</si>
  <si>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</si>
  <si>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</si>
  <si>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</si>
  <si>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</si>
  <si>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</si>
  <si>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</si>
  <si>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</si>
  <si>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</si>
  <si>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</si>
  <si>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</si>
  <si>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</si>
  <si>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</si>
  <si>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</si>
  <si>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</si>
  <si>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</si>
  <si>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</si>
  <si>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</si>
  <si>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</si>
  <si>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</si>
  <si>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</si>
  <si>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</si>
  <si>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</si>
  <si>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</si>
  <si>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</si>
  <si>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</si>
  <si>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</si>
  <si>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</si>
  <si>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</si>
  <si>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</si>
  <si>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</si>
  <si>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</si>
  <si>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</si>
  <si>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</si>
  <si>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Sales</t>
  </si>
  <si>
    <t>Cost</t>
  </si>
  <si>
    <t>Profit</t>
  </si>
  <si>
    <t>Month</t>
  </si>
  <si>
    <t>KPI</t>
  </si>
  <si>
    <t>Value</t>
  </si>
  <si>
    <t>Total Sales</t>
  </si>
  <si>
    <t>Total Cost</t>
  </si>
  <si>
    <t>Total Profit</t>
  </si>
  <si>
    <t>Total Orders</t>
  </si>
  <si>
    <t>Total Quantity</t>
  </si>
  <si>
    <t>Average Order Value</t>
  </si>
  <si>
    <t>Profit Margin</t>
  </si>
  <si>
    <t>FormulaAnalysis</t>
  </si>
  <si>
    <t>Sales in North</t>
  </si>
  <si>
    <t>Average Electronics Sales</t>
  </si>
  <si>
    <t>Electronics Order Count</t>
  </si>
  <si>
    <t>Grand Total</t>
  </si>
  <si>
    <t>Sales by Category</t>
  </si>
  <si>
    <t>Sales by 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</si>
  <si>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</si>
  <si>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</si>
  <si>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</si>
  <si>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</si>
  <si>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</si>
  <si>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</si>
  <si>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</si>
  <si>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</si>
  <si>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</si>
  <si>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</si>
  <si>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</si>
  <si>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</si>
  <si>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</t>
  </si>
  <si>
    <t>Profit by Category</t>
  </si>
  <si>
    <t>Quantity by Region</t>
  </si>
  <si>
    <t>Values</t>
  </si>
  <si>
    <t xml:space="preserve">                                     VEDA Technology – Task 5: Excel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</si>
</sst>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9" fontId="0" fillId="0" borderId="0" xfId="1" applyFont="1"/>
    <xf numFmtId="0" fontId="0" fillId="0" borderId="0" xfId="0" pivotButton="1"/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9" formatCode="dd/mm/yyyy"/>
    </dxf>
    <dxf>
      <numFmt numFmtId="13" formatCode="0%"/>
    </dxf>
    <dxf>
      <numFmt numFmtId="19" formatCode="dd/mm/yyyy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[VEDA_Technology_task_5_Excel_Data_Analysis.xlsx]Pivot_Analysis!PivotTable1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31561377295576892"/>
          <c:y val="7.533423734418147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Pivot_Analysis!$B$4:$B$8</c:f>
              <c:numCache>
                <c:formatCode>General</c:formatCode>
                <c:ptCount val="4"/>
                <c:pt idx="0">
                  <c:v>91388.700000000012</c:v>
                </c:pt>
                <c:pt idx="1">
                  <c:v>120836.05</c:v>
                </c:pt>
                <c:pt idx="2">
                  <c:v>130690.09999999998</c:v>
                </c:pt>
                <c:pt idx="3">
                  <c:v>38316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8-468E-A331-2C3C7EA7F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864256"/>
        <c:axId val="1651605456"/>
      </c:barChart>
      <c:catAx>
        <c:axId val="186586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605456"/>
        <c:crosses val="autoZero"/>
        <c:auto val="1"/>
        <c:lblAlgn val="ctr"/>
        <c:lblOffset val="100"/>
        <c:noMultiLvlLbl val="0"/>
      </c:catAx>
      <c:valAx>
        <c:axId val="165160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6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[VEDA_Technology_task_5_Excel_Data_Analysis.xlsx]Pivot_Analysis!PivotTable2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>
        <c:manualLayout>
          <c:xMode val="edge"/>
          <c:yMode val="edge"/>
          <c:x val="0.38141023291575143"/>
          <c:y val="6.3509312195787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31399729914614"/>
          <c:y val="0.33479400149385591"/>
          <c:w val="0.57569196088369667"/>
          <c:h val="0.485097202230543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Pivot_Analysis!$E$4:$E$8</c:f>
              <c:numCache>
                <c:formatCode>General</c:formatCode>
                <c:ptCount val="4"/>
                <c:pt idx="0">
                  <c:v>90894.89999999998</c:v>
                </c:pt>
                <c:pt idx="1">
                  <c:v>79516.800000000017</c:v>
                </c:pt>
                <c:pt idx="2">
                  <c:v>94487.65</c:v>
                </c:pt>
                <c:pt idx="3">
                  <c:v>116331.5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C-41C7-AB93-CF8B2B263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991760"/>
        <c:axId val="1651609776"/>
      </c:barChart>
      <c:catAx>
        <c:axId val="187299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609776"/>
        <c:crosses val="autoZero"/>
        <c:auto val="1"/>
        <c:lblAlgn val="ctr"/>
        <c:lblOffset val="100"/>
        <c:noMultiLvlLbl val="0"/>
      </c:catAx>
      <c:valAx>
        <c:axId val="165160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9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[VEDA_Technology_task_5_Excel_Data_Analysis.xlsx]Pivot_Analysis!PivotTable5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Pivot_Analysis!$M$4:$M$8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Pivot_Analysis!$N$4:$N$8</c:f>
              <c:numCache>
                <c:formatCode>General</c:formatCode>
                <c:ptCount val="4"/>
                <c:pt idx="0">
                  <c:v>99</c:v>
                </c:pt>
                <c:pt idx="1">
                  <c:v>112</c:v>
                </c:pt>
                <c:pt idx="2">
                  <c:v>111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D-4BB4-AF24-0F56EEA1B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740352"/>
        <c:axId val="259222640"/>
      </c:barChart>
      <c:catAx>
        <c:axId val="42074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22640"/>
        <c:crosses val="autoZero"/>
        <c:auto val="1"/>
        <c:lblAlgn val="ctr"/>
        <c:lblOffset val="100"/>
        <c:noMultiLvlLbl val="0"/>
      </c:catAx>
      <c:valAx>
        <c:axId val="25922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4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[VEDA_Technology_task_5_Excel_Data_Analysis.xlsx]Pivot_Analysis!PivotTable4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31973771531017542"/>
          <c:y val="4.7524497883782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Pivot_Analysis!$J$4:$J$8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Pivot_Analysis!$K$4:$K$8</c:f>
              <c:numCache>
                <c:formatCode>General</c:formatCode>
                <c:ptCount val="4"/>
                <c:pt idx="0">
                  <c:v>30158.270999999997</c:v>
                </c:pt>
                <c:pt idx="1">
                  <c:v>39875.896499999995</c:v>
                </c:pt>
                <c:pt idx="2">
                  <c:v>43127.732999999986</c:v>
                </c:pt>
                <c:pt idx="3">
                  <c:v>12644.279999999999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F-4941-9201-8AEEC66E6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732704"/>
        <c:axId val="514167024"/>
      </c:barChart>
      <c:catAx>
        <c:axId val="5167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167024"/>
        <c:crosses val="autoZero"/>
        <c:auto val="1"/>
        <c:lblAlgn val="ctr"/>
        <c:lblOffset val="100"/>
        <c:noMultiLvlLbl val="0"/>
      </c:catAx>
      <c:valAx>
        <c:axId val="51416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3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[VEDA_Technology_task_5_Excel_Data_Analysis.xlsx]Pivot_Analysis!PivotTable3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layout>
        <c:manualLayout>
          <c:xMode val="edge"/>
          <c:yMode val="edge"/>
          <c:x val="0.28852595710455586"/>
          <c:y val="3.77658805910131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Pivot_Analysis!$H$4:$H$16</c:f>
              <c:numCache>
                <c:formatCode>General</c:formatCode>
                <c:ptCount val="12"/>
                <c:pt idx="0">
                  <c:v>27477.8</c:v>
                </c:pt>
                <c:pt idx="1">
                  <c:v>20728.05</c:v>
                </c:pt>
                <c:pt idx="2">
                  <c:v>33242.9</c:v>
                </c:pt>
                <c:pt idx="3">
                  <c:v>23270.400000000001</c:v>
                </c:pt>
                <c:pt idx="4">
                  <c:v>22957.45</c:v>
                </c:pt>
                <c:pt idx="5">
                  <c:v>26980.649999999998</c:v>
                </c:pt>
                <c:pt idx="6">
                  <c:v>40561.049999999996</c:v>
                </c:pt>
                <c:pt idx="7">
                  <c:v>26061.399999999998</c:v>
                </c:pt>
                <c:pt idx="8">
                  <c:v>29733.55</c:v>
                </c:pt>
                <c:pt idx="9">
                  <c:v>34725.4</c:v>
                </c:pt>
                <c:pt idx="10">
                  <c:v>33561.550000000003</c:v>
                </c:pt>
                <c:pt idx="11">
                  <c:v>61930.649999999994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7-4D35-90B1-63DEBD621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685104"/>
        <c:axId val="514166544"/>
      </c:lineChart>
      <c:catAx>
        <c:axId val="51368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166544"/>
        <c:crosses val="autoZero"/>
        <c:auto val="1"/>
        <c:lblAlgn val="ctr"/>
        <c:lblOffset val="100"/>
        <c:noMultiLvlLbl val="0"/>
      </c:catAx>
      <c:valAx>
        <c:axId val="51416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8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[VEDA_Technology_task_5_Excel_Data_Analysis.xlsx]Pivot_Analysis!PivotTable1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2"/>
                </a:solidFill>
              </a:rPr>
              <a:t>Sales</a:t>
            </a:r>
            <a:r>
              <a:rPr lang="en-US" sz="1600" b="1" baseline="0">
                <a:solidFill>
                  <a:schemeClr val="tx2"/>
                </a:solidFill>
              </a:rPr>
              <a:t> by Category</a:t>
            </a:r>
            <a:endParaRPr lang="en-US" sz="16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39217513669906184"/>
          <c:y val="1.124520519166975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686467778589216"/>
          <c:y val="0.1391038468805065"/>
          <c:w val="0.80427269399822121"/>
          <c:h val="0.6743000852120469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05-42C5-879C-8A8A509536F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Pivot_Analysis!$B$4:$B$8</c:f>
              <c:numCache>
                <c:formatCode>General</c:formatCode>
                <c:ptCount val="4"/>
                <c:pt idx="0">
                  <c:v>91388.700000000012</c:v>
                </c:pt>
                <c:pt idx="1">
                  <c:v>120836.05</c:v>
                </c:pt>
                <c:pt idx="2">
                  <c:v>130690.09999999998</c:v>
                </c:pt>
                <c:pt idx="3">
                  <c:v>38316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5-42C5-879C-8A8A509536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5864256"/>
        <c:axId val="1651605456"/>
      </c:barChart>
      <c:catAx>
        <c:axId val="186586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605456"/>
        <c:crosses val="autoZero"/>
        <c:auto val="1"/>
        <c:lblAlgn val="ctr"/>
        <c:lblOffset val="100"/>
        <c:noMultiLvlLbl val="0"/>
      </c:catAx>
      <c:valAx>
        <c:axId val="1651605456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86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[VEDA_Technology_task_5_Excel_Data_Analysis.xlsx]Pivot_Analysis!PivotTable2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2"/>
                </a:solidFill>
              </a:rPr>
              <a:t>Sales</a:t>
            </a:r>
            <a:r>
              <a:rPr lang="en-US" sz="1600" b="1" baseline="0">
                <a:solidFill>
                  <a:schemeClr val="tx2"/>
                </a:solidFill>
              </a:rPr>
              <a:t> by Region</a:t>
            </a:r>
            <a:endParaRPr lang="en-US" sz="16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35139444199645181"/>
          <c:y val="8.13100415339419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31399729914614"/>
          <c:y val="7.6279256346138691E-2"/>
          <c:w val="0.79741973846886227"/>
          <c:h val="0.7793214852082763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Pivot_Analysis!$E$3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softEdge rad="0"/>
              </a:effectLst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softEdge rad="0"/>
              </a:effectLst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softEdge rad="0"/>
              </a:effectLst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softEdge rad="0"/>
              </a:effectLst>
            </c:spPr>
          </c:dPt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Pivot_Analysis!$D$4:$D$8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Pivot_Analysis!$E$4:$E$8</c:f>
              <c:numCache>
                <c:formatCode>General</c:formatCode>
                <c:ptCount val="4"/>
                <c:pt idx="0">
                  <c:v>90894.89999999998</c:v>
                </c:pt>
                <c:pt idx="1">
                  <c:v>79516.800000000017</c:v>
                </c:pt>
                <c:pt idx="2">
                  <c:v>94487.65</c:v>
                </c:pt>
                <c:pt idx="3">
                  <c:v>116331.5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1-4DA6-862D-CB12F5D8FD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2991760"/>
        <c:axId val="1651609776"/>
      </c:barChart>
      <c:catAx>
        <c:axId val="187299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609776"/>
        <c:crosses val="autoZero"/>
        <c:auto val="1"/>
        <c:lblAlgn val="ctr"/>
        <c:lblOffset val="100"/>
        <c:noMultiLvlLbl val="0"/>
      </c:catAx>
      <c:valAx>
        <c:axId val="1651609776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91760"/>
        <c:crosses val="autoZero"/>
        <c:crossBetween val="between"/>
        <c:min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tx1">
          <a:lumMod val="95000"/>
          <a:lumOff val="5000"/>
          <a:alpha val="86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[VEDA_Technology_task_5_Excel_Data_Analysis.xlsx]Pivot_Analysis!PivotTable3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2"/>
                </a:solidFill>
              </a:rPr>
              <a:t>Monthly</a:t>
            </a:r>
            <a:r>
              <a:rPr lang="en-US" sz="1600" b="1" baseline="0">
                <a:solidFill>
                  <a:schemeClr val="tx2"/>
                </a:solidFill>
              </a:rPr>
              <a:t> Sales Trend</a:t>
            </a:r>
            <a:endParaRPr lang="en-US" sz="16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37117465479311168"/>
          <c:y val="1.9593389978397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0027713723582052"/>
          <c:y val="0.15457194718543726"/>
          <c:w val="0.87226283685288941"/>
          <c:h val="0.69260591794834081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Pivot_Analysis!$G$4:$G$16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Pivot_Analysis!$H$4:$H$16</c:f>
              <c:numCache>
                <c:formatCode>General</c:formatCode>
                <c:ptCount val="12"/>
                <c:pt idx="0">
                  <c:v>27477.8</c:v>
                </c:pt>
                <c:pt idx="1">
                  <c:v>20728.05</c:v>
                </c:pt>
                <c:pt idx="2">
                  <c:v>33242.9</c:v>
                </c:pt>
                <c:pt idx="3">
                  <c:v>23270.400000000001</c:v>
                </c:pt>
                <c:pt idx="4">
                  <c:v>22957.45</c:v>
                </c:pt>
                <c:pt idx="5">
                  <c:v>26980.649999999998</c:v>
                </c:pt>
                <c:pt idx="6">
                  <c:v>40561.049999999996</c:v>
                </c:pt>
                <c:pt idx="7">
                  <c:v>26061.399999999998</c:v>
                </c:pt>
                <c:pt idx="8">
                  <c:v>29733.55</c:v>
                </c:pt>
                <c:pt idx="9">
                  <c:v>34725.4</c:v>
                </c:pt>
                <c:pt idx="10">
                  <c:v>33561.550000000003</c:v>
                </c:pt>
                <c:pt idx="11">
                  <c:v>61930.649999999994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F-4ACE-BC41-249C75840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685104"/>
        <c:axId val="514166544"/>
      </c:lineChart>
      <c:catAx>
        <c:axId val="51368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166544"/>
        <c:crosses val="autoZero"/>
        <c:auto val="1"/>
        <c:lblAlgn val="ctr"/>
        <c:lblOffset val="100"/>
        <c:noMultiLvlLbl val="0"/>
      </c:catAx>
      <c:valAx>
        <c:axId val="514166544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8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[VEDA_Technology_task_5_Excel_Data_Analysis.xlsx]Pivot_Analysis!PivotTable4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2"/>
                </a:solidFill>
              </a:rPr>
              <a:t>Profit</a:t>
            </a:r>
            <a:r>
              <a:rPr lang="en-US" sz="1600" b="1" baseline="0">
                <a:solidFill>
                  <a:schemeClr val="tx2"/>
                </a:solidFill>
              </a:rPr>
              <a:t> by category</a:t>
            </a:r>
            <a:endParaRPr lang="en-US" sz="16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34361526347668081"/>
          <c:y val="1.0590956635187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72041187159297"/>
          <c:y val="0.13708036847439672"/>
          <c:w val="0.85043343428225315"/>
          <c:h val="0.7206907970617855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Pivot_Analysis!$K$3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Pivot_Analysis!$J$4:$J$8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Pivot_Analysis!$K$4:$K$8</c:f>
              <c:numCache>
                <c:formatCode>General</c:formatCode>
                <c:ptCount val="4"/>
                <c:pt idx="0">
                  <c:v>30158.270999999997</c:v>
                </c:pt>
                <c:pt idx="1">
                  <c:v>39875.896499999995</c:v>
                </c:pt>
                <c:pt idx="2">
                  <c:v>43127.732999999986</c:v>
                </c:pt>
                <c:pt idx="3">
                  <c:v>12644.279999999999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1-4773-B6CB-A594F7B94C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6732704"/>
        <c:axId val="514167024"/>
      </c:barChart>
      <c:catAx>
        <c:axId val="5167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167024"/>
        <c:crosses val="autoZero"/>
        <c:auto val="1"/>
        <c:lblAlgn val="ctr"/>
        <c:lblOffset val="100"/>
        <c:noMultiLvlLbl val="0"/>
      </c:catAx>
      <c:valAx>
        <c:axId val="514167024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3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[VEDA_Technology_task_5_Excel_Data_Analysis.xlsx]Pivot_Analysis!PivotTable5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2"/>
                </a:solidFill>
              </a:rPr>
              <a:t>Quantity</a:t>
            </a:r>
            <a:r>
              <a:rPr lang="en-US" sz="1600" b="1" baseline="0">
                <a:solidFill>
                  <a:schemeClr val="tx2"/>
                </a:solidFill>
              </a:rPr>
              <a:t> by Region</a:t>
            </a:r>
            <a:endParaRPr lang="en-US" sz="16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37148042347606441"/>
          <c:y val="4.63940135789185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212678345578776E-2"/>
          <c:y val="0.14470948912224402"/>
          <c:w val="0.91278732165442122"/>
          <c:h val="0.6760399757064072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Pivot_Analysis!$N$3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Pivot_Analysis!$M$4:$M$8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Pivot_Analysis!$N$4:$N$8</c:f>
              <c:numCache>
                <c:formatCode>General</c:formatCode>
                <c:ptCount val="4"/>
                <c:pt idx="0">
                  <c:v>99</c:v>
                </c:pt>
                <c:pt idx="1">
                  <c:v>112</c:v>
                </c:pt>
                <c:pt idx="2">
                  <c:v>111</c:v>
                </c:pt>
                <c:pt idx="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B-4044-8010-38F78CAF5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740352"/>
        <c:axId val="259222640"/>
      </c:barChart>
      <c:catAx>
        <c:axId val="42074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22640"/>
        <c:crosses val="autoZero"/>
        <c:auto val="1"/>
        <c:lblAlgn val="ctr"/>
        <c:lblOffset val="100"/>
        <c:noMultiLvlLbl val="0"/>
      </c:catAx>
      <c:valAx>
        <c:axId val="25922264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4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81641</xdr:rowOff>
    </xdr:from>
    <xdr:to>
      <xdr:col>2</xdr:col>
      <xdr:colOff>454692</xdr:colOff>
      <xdr:row>26</xdr:row>
      <xdr:rowOff>16358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D65462-36D7-F4D8-B1AB-FBB4598B0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715065</xdr:colOff>
      <xdr:row>9</xdr:row>
      <xdr:rowOff>165653</xdr:rowOff>
    </xdr:from>
    <xdr:to>
      <xdr:col>5</xdr:col>
      <xdr:colOff>489520</xdr:colOff>
      <xdr:row>23</xdr:row>
      <xdr:rowOff>51451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A6ED22-13B1-455A-5DD2-F78159252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4865</xdr:colOff>
      <xdr:row>11</xdr:row>
      <xdr:rowOff>2532</xdr:rowOff>
    </xdr:from>
    <xdr:to>
      <xdr:col>15</xdr:col>
      <xdr:colOff>70555</xdr:colOff>
      <xdr:row>25</xdr:row>
      <xdr:rowOff>77982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31E5D0-340B-C4FD-7B47-1EA0203A9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1347983</xdr:colOff>
      <xdr:row>8</xdr:row>
      <xdr:rowOff>188049</xdr:rowOff>
    </xdr:from>
    <xdr:to>
      <xdr:col>11</xdr:col>
      <xdr:colOff>245089</xdr:colOff>
      <xdr:row>23</xdr:row>
      <xdr:rowOff>90459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0FFAA9-D230-3A37-1075-785B66257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862347</xdr:colOff>
      <xdr:row>17</xdr:row>
      <xdr:rowOff>87785</xdr:rowOff>
    </xdr:from>
    <xdr:to>
      <xdr:col>8</xdr:col>
      <xdr:colOff>736914</xdr:colOff>
      <xdr:row>31</xdr:row>
      <xdr:rowOff>179582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CC064D-8635-CBA3-EECA-6C2BDDE9D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23517</xdr:colOff>
      <xdr:row>2</xdr:row>
      <xdr:rowOff>7384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F6F7AA3-8AB6-1436-7EF6-FF1C18E1D358}"/>
            </a:ext>
          </a:extLst>
        </xdr:cNvPr>
        <xdr:cNvSpPr/>
      </xdr:nvSpPr>
      <xdr:spPr>
        <a:xfrm>
          <a:off x="0" y="0"/>
          <a:ext cx="13506191" cy="376570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 u="sng"/>
            <a:t>DATA</a:t>
          </a:r>
          <a:r>
            <a:rPr lang="en-IN" sz="2400" b="1" u="sng" baseline="0"/>
            <a:t> ANALYSIS DASHBOARD</a:t>
          </a:r>
          <a:endParaRPr lang="en-IN" sz="2400" b="1" u="sng"/>
        </a:p>
      </xdr:txBody>
    </xdr:sp>
    <xdr:clientData/>
  </xdr:twoCellAnchor>
  <xdr:twoCellAnchor>
    <xdr:from>
      <xdr:col>0</xdr:col>
      <xdr:colOff>206746</xdr:colOff>
      <xdr:row>2</xdr:row>
      <xdr:rowOff>73838</xdr:rowOff>
    </xdr:from>
    <xdr:to>
      <xdr:col>5</xdr:col>
      <xdr:colOff>7384</xdr:colOff>
      <xdr:row>5</xdr:row>
      <xdr:rowOff>88605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C8BCDC8-5125-4A62-EF5A-7F4D9DE6D658}"/>
            </a:ext>
          </a:extLst>
        </xdr:cNvPr>
        <xdr:cNvSpPr/>
      </xdr:nvSpPr>
      <xdr:spPr>
        <a:xfrm>
          <a:off x="206746" y="443024"/>
          <a:ext cx="2864882" cy="56854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Total sales</a:t>
          </a:r>
        </a:p>
      </xdr:txBody>
    </xdr:sp>
    <xdr:clientData/>
  </xdr:twoCellAnchor>
  <xdr:twoCellAnchor>
    <xdr:from>
      <xdr:col>2</xdr:col>
      <xdr:colOff>428257</xdr:colOff>
      <xdr:row>2</xdr:row>
      <xdr:rowOff>177210</xdr:rowOff>
    </xdr:from>
    <xdr:to>
      <xdr:col>4</xdr:col>
      <xdr:colOff>302734</xdr:colOff>
      <xdr:row>5</xdr:row>
      <xdr:rowOff>7384</xdr:rowOff>
    </xdr:to>
    <xdr:sp macro="" textlink="Summary!B5">
      <xdr:nvSpPr>
        <xdr:cNvPr id="6" name="Rectangle: Rounded Corners 5">
          <a:extLst>
            <a:ext uri="{FF2B5EF4-FFF2-40B4-BE49-F238E27FC236}">
              <a16:creationId xmlns:a16="http://schemas.microsoft.com/office/drawing/2014/main" id="{7B5F0EAC-931A-8947-A16F-B6039A2CBB63}"/>
            </a:ext>
          </a:extLst>
        </xdr:cNvPr>
        <xdr:cNvSpPr/>
      </xdr:nvSpPr>
      <xdr:spPr>
        <a:xfrm>
          <a:off x="1653955" y="546396"/>
          <a:ext cx="1100174" cy="38395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A502DC5-0832-435D-91E2-C31F1DA80C79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381230.85</a:t>
          </a:fld>
          <a:endParaRPr lang="en-IN" sz="1100"/>
        </a:p>
      </xdr:txBody>
    </xdr:sp>
    <xdr:clientData/>
  </xdr:twoCellAnchor>
  <xdr:twoCellAnchor>
    <xdr:from>
      <xdr:col>5</xdr:col>
      <xdr:colOff>420872</xdr:colOff>
      <xdr:row>2</xdr:row>
      <xdr:rowOff>51687</xdr:rowOff>
    </xdr:from>
    <xdr:to>
      <xdr:col>10</xdr:col>
      <xdr:colOff>236279</xdr:colOff>
      <xdr:row>5</xdr:row>
      <xdr:rowOff>51687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87D695F-97D5-9301-BF10-639AA4C6C575}"/>
            </a:ext>
          </a:extLst>
        </xdr:cNvPr>
        <xdr:cNvSpPr/>
      </xdr:nvSpPr>
      <xdr:spPr>
        <a:xfrm>
          <a:off x="3485116" y="420873"/>
          <a:ext cx="2879651" cy="5537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Total</a:t>
          </a:r>
          <a:r>
            <a:rPr lang="en-IN" sz="1800" b="1" baseline="0"/>
            <a:t> Profit</a:t>
          </a:r>
          <a:endParaRPr lang="en-IN" sz="1800" b="1"/>
        </a:p>
      </xdr:txBody>
    </xdr:sp>
    <xdr:clientData/>
  </xdr:twoCellAnchor>
  <xdr:twoCellAnchor>
    <xdr:from>
      <xdr:col>8</xdr:col>
      <xdr:colOff>66453</xdr:colOff>
      <xdr:row>2</xdr:row>
      <xdr:rowOff>177209</xdr:rowOff>
    </xdr:from>
    <xdr:to>
      <xdr:col>9</xdr:col>
      <xdr:colOff>502092</xdr:colOff>
      <xdr:row>4</xdr:row>
      <xdr:rowOff>110755</xdr:rowOff>
    </xdr:to>
    <xdr:sp macro="" textlink="Summary!B7">
      <xdr:nvSpPr>
        <xdr:cNvPr id="8" name="Rectangle: Rounded Corners 7">
          <a:extLst>
            <a:ext uri="{FF2B5EF4-FFF2-40B4-BE49-F238E27FC236}">
              <a16:creationId xmlns:a16="http://schemas.microsoft.com/office/drawing/2014/main" id="{6139F23F-9A4D-913F-62A1-4B047A86BFA0}"/>
            </a:ext>
          </a:extLst>
        </xdr:cNvPr>
        <xdr:cNvSpPr/>
      </xdr:nvSpPr>
      <xdr:spPr>
        <a:xfrm>
          <a:off x="4969244" y="546395"/>
          <a:ext cx="1048488" cy="302732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740C17E-5F05-413B-BA33-0BDDB2EE983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125806.1805</a:t>
          </a:fld>
          <a:endParaRPr lang="en-IN" sz="1100"/>
        </a:p>
      </xdr:txBody>
    </xdr:sp>
    <xdr:clientData/>
  </xdr:twoCellAnchor>
  <xdr:twoCellAnchor>
    <xdr:from>
      <xdr:col>11</xdr:col>
      <xdr:colOff>199361</xdr:colOff>
      <xdr:row>2</xdr:row>
      <xdr:rowOff>59070</xdr:rowOff>
    </xdr:from>
    <xdr:to>
      <xdr:col>16</xdr:col>
      <xdr:colOff>14768</xdr:colOff>
      <xdr:row>5</xdr:row>
      <xdr:rowOff>22153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8DA1FF9-5100-4C91-AFE2-13CE303FF677}"/>
            </a:ext>
          </a:extLst>
        </xdr:cNvPr>
        <xdr:cNvSpPr/>
      </xdr:nvSpPr>
      <xdr:spPr>
        <a:xfrm>
          <a:off x="6940698" y="428256"/>
          <a:ext cx="2879651" cy="51686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Total Orders</a:t>
          </a:r>
        </a:p>
      </xdr:txBody>
    </xdr:sp>
    <xdr:clientData/>
  </xdr:twoCellAnchor>
  <xdr:twoCellAnchor>
    <xdr:from>
      <xdr:col>13</xdr:col>
      <xdr:colOff>524244</xdr:colOff>
      <xdr:row>2</xdr:row>
      <xdr:rowOff>169825</xdr:rowOff>
    </xdr:from>
    <xdr:to>
      <xdr:col>15</xdr:col>
      <xdr:colOff>324884</xdr:colOff>
      <xdr:row>4</xdr:row>
      <xdr:rowOff>118139</xdr:rowOff>
    </xdr:to>
    <xdr:sp macro="" textlink="Summary!B8">
      <xdr:nvSpPr>
        <xdr:cNvPr id="10" name="Rectangle: Rounded Corners 9">
          <a:extLst>
            <a:ext uri="{FF2B5EF4-FFF2-40B4-BE49-F238E27FC236}">
              <a16:creationId xmlns:a16="http://schemas.microsoft.com/office/drawing/2014/main" id="{3AB99961-D752-A917-E53C-F2C20FCD3297}"/>
            </a:ext>
          </a:extLst>
        </xdr:cNvPr>
        <xdr:cNvSpPr/>
      </xdr:nvSpPr>
      <xdr:spPr>
        <a:xfrm>
          <a:off x="8491279" y="539011"/>
          <a:ext cx="1026338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5A58FD9-0719-42BD-885B-80E3CD1DA6F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60</a:t>
          </a:fld>
          <a:endParaRPr lang="en-IN" sz="1100"/>
        </a:p>
      </xdr:txBody>
    </xdr:sp>
    <xdr:clientData/>
  </xdr:twoCellAnchor>
  <xdr:twoCellAnchor>
    <xdr:from>
      <xdr:col>17</xdr:col>
      <xdr:colOff>95988</xdr:colOff>
      <xdr:row>2</xdr:row>
      <xdr:rowOff>59071</xdr:rowOff>
    </xdr:from>
    <xdr:to>
      <xdr:col>21</xdr:col>
      <xdr:colOff>413487</xdr:colOff>
      <xdr:row>5</xdr:row>
      <xdr:rowOff>44304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D1AF22A8-253B-DC23-BB84-1C37B5C2F4BD}"/>
            </a:ext>
          </a:extLst>
        </xdr:cNvPr>
        <xdr:cNvSpPr/>
      </xdr:nvSpPr>
      <xdr:spPr>
        <a:xfrm>
          <a:off x="10514418" y="428257"/>
          <a:ext cx="2768895" cy="5390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Profit Margin</a:t>
          </a:r>
        </a:p>
      </xdr:txBody>
    </xdr:sp>
    <xdr:clientData/>
  </xdr:twoCellAnchor>
  <xdr:twoCellAnchor>
    <xdr:from>
      <xdr:col>19</xdr:col>
      <xdr:colOff>428256</xdr:colOff>
      <xdr:row>2</xdr:row>
      <xdr:rowOff>162442</xdr:rowOff>
    </xdr:from>
    <xdr:to>
      <xdr:col>21</xdr:col>
      <xdr:colOff>125523</xdr:colOff>
      <xdr:row>4</xdr:row>
      <xdr:rowOff>95989</xdr:rowOff>
    </xdr:to>
    <xdr:sp macro="" textlink="Summary!B11">
      <xdr:nvSpPr>
        <xdr:cNvPr id="12" name="Rectangle: Rounded Corners 11">
          <a:extLst>
            <a:ext uri="{FF2B5EF4-FFF2-40B4-BE49-F238E27FC236}">
              <a16:creationId xmlns:a16="http://schemas.microsoft.com/office/drawing/2014/main" id="{452B61B2-0A6D-BA63-8F8B-D9B48918414C}"/>
            </a:ext>
          </a:extLst>
        </xdr:cNvPr>
        <xdr:cNvSpPr/>
      </xdr:nvSpPr>
      <xdr:spPr>
        <a:xfrm>
          <a:off x="12072384" y="531628"/>
          <a:ext cx="922965" cy="3027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3E6296B-3FFF-4B19-8FD1-8CDF595E70A5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33%</a:t>
          </a:fld>
          <a:endParaRPr lang="en-IN" sz="1100"/>
        </a:p>
      </xdr:txBody>
    </xdr:sp>
    <xdr:clientData/>
  </xdr:twoCellAnchor>
  <xdr:twoCellAnchor>
    <xdr:from>
      <xdr:col>0</xdr:col>
      <xdr:colOff>0</xdr:colOff>
      <xdr:row>5</xdr:row>
      <xdr:rowOff>169826</xdr:rowOff>
    </xdr:from>
    <xdr:to>
      <xdr:col>6</xdr:col>
      <xdr:colOff>435639</xdr:colOff>
      <xdr:row>19</xdr:row>
      <xdr:rowOff>7384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290DB6A-9A91-4022-A3B9-DE903F59B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561162</xdr:colOff>
      <xdr:row>5</xdr:row>
      <xdr:rowOff>118141</xdr:rowOff>
    </xdr:from>
    <xdr:to>
      <xdr:col>12</xdr:col>
      <xdr:colOff>561163</xdr:colOff>
      <xdr:row>18</xdr:row>
      <xdr:rowOff>177210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ABFC423-F903-46E3-B3F5-21069B4B7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162443</xdr:colOff>
      <xdr:row>5</xdr:row>
      <xdr:rowOff>132906</xdr:rowOff>
    </xdr:from>
    <xdr:to>
      <xdr:col>21</xdr:col>
      <xdr:colOff>428256</xdr:colOff>
      <xdr:row>18</xdr:row>
      <xdr:rowOff>44302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59EFE6C-4F7D-440A-A1A0-5B9A4D0A9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450407</xdr:colOff>
      <xdr:row>33</xdr:row>
      <xdr:rowOff>88604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5A7B99C-B9A5-4487-8903-1D6B8FE4B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591730</xdr:colOff>
      <xdr:row>19</xdr:row>
      <xdr:rowOff>169826</xdr:rowOff>
    </xdr:from>
    <xdr:to>
      <xdr:col>13</xdr:col>
      <xdr:colOff>531628</xdr:colOff>
      <xdr:row>33</xdr:row>
      <xdr:rowOff>81221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8A6F338-8EBA-48EB-850B-85C675A78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155057</xdr:colOff>
      <xdr:row>18</xdr:row>
      <xdr:rowOff>110756</xdr:rowOff>
    </xdr:from>
    <xdr:to>
      <xdr:col>21</xdr:col>
      <xdr:colOff>435638</xdr:colOff>
      <xdr:row>22</xdr:row>
      <xdr:rowOff>169825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A864B44E-C732-964E-896F-40BA06EDC004}"/>
            </a:ext>
          </a:extLst>
        </xdr:cNvPr>
        <xdr:cNvSpPr/>
      </xdr:nvSpPr>
      <xdr:spPr>
        <a:xfrm>
          <a:off x="8734941" y="3433430"/>
          <a:ext cx="4570523" cy="7974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KEY</a:t>
          </a:r>
          <a:r>
            <a:rPr lang="en-IN" sz="1400" b="1" baseline="0"/>
            <a:t> FINDINGS</a:t>
          </a:r>
          <a:r>
            <a:rPr lang="en-IN" sz="1400" b="1"/>
            <a:t>:</a:t>
          </a:r>
        </a:p>
      </xdr:txBody>
    </xdr:sp>
    <xdr:clientData/>
  </xdr:twoCellAnchor>
  <xdr:twoCellAnchor>
    <xdr:from>
      <xdr:col>16</xdr:col>
      <xdr:colOff>132907</xdr:colOff>
      <xdr:row>18</xdr:row>
      <xdr:rowOff>177210</xdr:rowOff>
    </xdr:from>
    <xdr:to>
      <xdr:col>21</xdr:col>
      <xdr:colOff>317499</xdr:colOff>
      <xdr:row>22</xdr:row>
      <xdr:rowOff>162442</xdr:rowOff>
    </xdr:to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108E4216-E065-DAF4-6AB4-43BF33EB1748}"/>
            </a:ext>
          </a:extLst>
        </xdr:cNvPr>
        <xdr:cNvSpPr txBox="1">
          <a:spLocks noChangeArrowheads="1"/>
        </xdr:cNvSpPr>
      </xdr:nvSpPr>
      <xdr:spPr bwMode="auto">
        <a:xfrm>
          <a:off x="9938488" y="3499884"/>
          <a:ext cx="3248837" cy="723605"/>
        </a:xfrm>
        <a:prstGeom prst="rect">
          <a:avLst/>
        </a:prstGeom>
        <a:solidFill>
          <a:schemeClr val="accent1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chemeClr val="bg1"/>
              </a:solidFill>
              <a:latin typeface="Aptos Narrow"/>
            </a:rPr>
            <a:t>Sales and profit vary across categories, regions, and months. The analysis identifies high-performing segments and weaker areas, helping to improve sales, inventory, and business strategies.</a:t>
          </a:r>
        </a:p>
      </xdr:txBody>
    </xdr:sp>
    <xdr:clientData/>
  </xdr:twoCellAnchor>
  <xdr:twoCellAnchor>
    <xdr:from>
      <xdr:col>14</xdr:col>
      <xdr:colOff>140291</xdr:colOff>
      <xdr:row>23</xdr:row>
      <xdr:rowOff>73837</xdr:rowOff>
    </xdr:from>
    <xdr:to>
      <xdr:col>21</xdr:col>
      <xdr:colOff>428255</xdr:colOff>
      <xdr:row>28</xdr:row>
      <xdr:rowOff>95988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5CBF54C9-428A-A5A8-0187-8A47DE464E26}"/>
            </a:ext>
          </a:extLst>
        </xdr:cNvPr>
        <xdr:cNvSpPr/>
      </xdr:nvSpPr>
      <xdr:spPr>
        <a:xfrm>
          <a:off x="8720175" y="4319477"/>
          <a:ext cx="4577906" cy="94511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RECOMMENDATIONS</a:t>
          </a:r>
          <a:r>
            <a:rPr lang="en-IN" sz="1100"/>
            <a:t>:</a:t>
          </a:r>
        </a:p>
      </xdr:txBody>
    </xdr:sp>
    <xdr:clientData/>
  </xdr:twoCellAnchor>
  <xdr:twoCellAnchor>
    <xdr:from>
      <xdr:col>14</xdr:col>
      <xdr:colOff>428256</xdr:colOff>
      <xdr:row>25</xdr:row>
      <xdr:rowOff>7383</xdr:rowOff>
    </xdr:from>
    <xdr:to>
      <xdr:col>21</xdr:col>
      <xdr:colOff>236279</xdr:colOff>
      <xdr:row>28</xdr:row>
      <xdr:rowOff>81220</xdr:rowOff>
    </xdr:to>
    <xdr:sp macro="" textlink="">
      <xdr:nvSpPr>
        <xdr:cNvPr id="6146" name="Text Box 2">
          <a:extLst>
            <a:ext uri="{FF2B5EF4-FFF2-40B4-BE49-F238E27FC236}">
              <a16:creationId xmlns:a16="http://schemas.microsoft.com/office/drawing/2014/main" id="{DE4B6044-888A-70E5-7F77-891414D1E915}"/>
            </a:ext>
          </a:extLst>
        </xdr:cNvPr>
        <xdr:cNvSpPr txBox="1">
          <a:spLocks noChangeArrowheads="1"/>
        </xdr:cNvSpPr>
      </xdr:nvSpPr>
      <xdr:spPr bwMode="auto">
        <a:xfrm>
          <a:off x="9008140" y="4622209"/>
          <a:ext cx="4097965" cy="627616"/>
        </a:xfrm>
        <a:prstGeom prst="rect">
          <a:avLst/>
        </a:prstGeom>
        <a:solidFill>
          <a:schemeClr val="accent1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chemeClr val="bg1"/>
              </a:solidFill>
              <a:latin typeface="Aptos Narrow"/>
            </a:rPr>
            <a:t>• Focus on high-performing categories and regions.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chemeClr val="bg1"/>
              </a:solidFill>
              <a:latin typeface="Aptos Narrow"/>
            </a:rPr>
            <a:t>• Improve promotions for weaker segments.</a:t>
          </a:r>
        </a:p>
        <a:p>
          <a:pPr algn="l" rtl="0">
            <a:defRPr sz="1000"/>
          </a:pPr>
          <a:r>
            <a:rPr lang="en-IN" sz="1100" b="0" i="0" u="none" strike="noStrike" baseline="0">
              <a:solidFill>
                <a:schemeClr val="bg1"/>
              </a:solidFill>
              <a:latin typeface="Aptos Narrow"/>
            </a:rPr>
            <a:t>• Monitor monthly trends for better inventory planning.</a:t>
          </a:r>
        </a:p>
      </xdr:txBody>
    </xdr:sp>
    <xdr:clientData/>
  </xdr:twoCellAnchor>
  <xdr:twoCellAnchor>
    <xdr:from>
      <xdr:col>14</xdr:col>
      <xdr:colOff>147675</xdr:colOff>
      <xdr:row>29</xdr:row>
      <xdr:rowOff>59069</xdr:rowOff>
    </xdr:from>
    <xdr:to>
      <xdr:col>21</xdr:col>
      <xdr:colOff>472559</xdr:colOff>
      <xdr:row>33</xdr:row>
      <xdr:rowOff>51686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37599D2D-E8DD-B36B-EAF7-614C746C30D2}"/>
            </a:ext>
          </a:extLst>
        </xdr:cNvPr>
        <xdr:cNvSpPr/>
      </xdr:nvSpPr>
      <xdr:spPr>
        <a:xfrm>
          <a:off x="8727559" y="5412267"/>
          <a:ext cx="4614826" cy="7309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CONCLUSION</a:t>
          </a:r>
          <a:r>
            <a:rPr lang="en-IN" sz="1100"/>
            <a:t>:</a:t>
          </a:r>
        </a:p>
      </xdr:txBody>
    </xdr:sp>
    <xdr:clientData/>
  </xdr:twoCellAnchor>
  <xdr:twoCellAnchor>
    <xdr:from>
      <xdr:col>16</xdr:col>
      <xdr:colOff>132906</xdr:colOff>
      <xdr:row>29</xdr:row>
      <xdr:rowOff>95987</xdr:rowOff>
    </xdr:from>
    <xdr:to>
      <xdr:col>21</xdr:col>
      <xdr:colOff>332266</xdr:colOff>
      <xdr:row>33</xdr:row>
      <xdr:rowOff>7382</xdr:rowOff>
    </xdr:to>
    <xdr:sp macro="" textlink="">
      <xdr:nvSpPr>
        <xdr:cNvPr id="6147" name="Text Box 3">
          <a:extLst>
            <a:ext uri="{FF2B5EF4-FFF2-40B4-BE49-F238E27FC236}">
              <a16:creationId xmlns:a16="http://schemas.microsoft.com/office/drawing/2014/main" id="{3B881ACD-172C-5AF8-2E57-C4EB540F3B75}"/>
            </a:ext>
          </a:extLst>
        </xdr:cNvPr>
        <xdr:cNvSpPr txBox="1">
          <a:spLocks noChangeArrowheads="1"/>
        </xdr:cNvSpPr>
      </xdr:nvSpPr>
      <xdr:spPr bwMode="auto">
        <a:xfrm>
          <a:off x="9938487" y="5449185"/>
          <a:ext cx="3263605" cy="6497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chemeClr val="bg1"/>
              </a:solidFill>
              <a:latin typeface="Aptos Narrow"/>
            </a:rPr>
            <a:t>The analysis provides a clear overview of sales and profitability using Excel formulas, KPIs, PivotTables, and charts, supporting better business decision-making.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r sharma" refreshedDate="46277.41235648148" createdVersion="8" refreshedVersion="8" minRefreshableVersion="3" recordCount="60" xr:uid="{58E5CAF6-DCD7-4BC6-B27D-2EF602997C9A}">
  <cacheSource type="worksheet">
    <worksheetSource name="WorkingData"/>
  </cacheSource>
  <cacheFields count="12">
    <cacheField name="Order ID" numFmtId="0">
      <sharedItems/>
    </cacheField>
    <cacheField name="Order Date" numFmtId="14">
      <sharedItems containsSemiMixedTypes="0" containsNonDate="0" containsDate="1" containsString="0" minDate="2025-01-05T00:00:00" maxDate="2025-12-31T00:00:00"/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4">
        <s v="Electronics"/>
        <s v="Furniture"/>
        <s v="Office Supplies"/>
        <s v="Clothing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30"/>
    </cacheField>
    <cacheField name="Unit Price" numFmtId="0">
      <sharedItems containsSemiMixedTypes="0" containsString="0" containsNumber="1" containsInteger="1" minValue="99" maxValue="4999"/>
    </cacheField>
    <cacheField name="Discount" numFmtId="9">
      <sharedItems containsSemiMixedTypes="0" containsString="0" containsNumber="1" minValue="0" maxValue="0.15"/>
    </cacheField>
    <cacheField name="Sales" numFmtId="0">
      <sharedItems containsSemiMixedTypes="0" containsString="0" containsNumber="1" minValue="1188" maxValue="14247.15"/>
    </cacheField>
    <cacheField name="Cost" numFmtId="0">
      <sharedItems containsSemiMixedTypes="0" containsString="0" containsNumber="1" minValue="795.96" maxValue="9545.5905000000002"/>
    </cacheField>
    <cacheField name="Profit" numFmtId="0">
      <sharedItems containsSemiMixedTypes="0" containsString="0" containsNumber="1" minValue="392.03999999999996" maxValue="4701.5594999999994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RD001"/>
    <d v="2025-01-05T00:00:00"/>
    <x v="0"/>
    <x v="0"/>
    <s v="Wireless Headphones"/>
    <n v="3"/>
    <n v="1499"/>
    <n v="0.05"/>
    <n v="4272.1499999999996"/>
    <n v="2862.3404999999998"/>
    <n v="1409.8094999999998"/>
    <x v="0"/>
  </r>
  <r>
    <s v="ORD002"/>
    <d v="2025-01-08T00:00:00"/>
    <x v="1"/>
    <x v="1"/>
    <s v="Office Chair"/>
    <n v="2"/>
    <n v="4999"/>
    <n v="0.1"/>
    <n v="8998.2000000000007"/>
    <n v="6028.7940000000008"/>
    <n v="2969.4059999999999"/>
    <x v="0"/>
  </r>
  <r>
    <s v="ORD003"/>
    <d v="2025-01-12T00:00:00"/>
    <x v="2"/>
    <x v="2"/>
    <s v="Notebook"/>
    <n v="8"/>
    <n v="199"/>
    <n v="0"/>
    <n v="1592"/>
    <n v="1066.6400000000001"/>
    <n v="525.3599999999999"/>
    <x v="0"/>
  </r>
  <r>
    <s v="ORD004"/>
    <d v="2025-01-18T00:00:00"/>
    <x v="3"/>
    <x v="3"/>
    <s v="T-Shirt"/>
    <n v="5"/>
    <n v="699"/>
    <n v="0.05"/>
    <n v="3320.25"/>
    <n v="2224.5675000000001"/>
    <n v="1095.6824999999999"/>
    <x v="0"/>
  </r>
  <r>
    <s v="ORD005"/>
    <d v="2025-01-23T00:00:00"/>
    <x v="0"/>
    <x v="0"/>
    <s v="Smart Watch"/>
    <n v="2"/>
    <n v="2999"/>
    <n v="0.1"/>
    <n v="5398.2"/>
    <n v="3616.7939999999999"/>
    <n v="1781.4059999999999"/>
    <x v="0"/>
  </r>
  <r>
    <s v="ORD006"/>
    <d v="2025-01-29T00:00:00"/>
    <x v="1"/>
    <x v="3"/>
    <s v="Jeans"/>
    <n v="3"/>
    <n v="1299"/>
    <n v="0"/>
    <n v="3897"/>
    <n v="2610.9900000000002"/>
    <n v="1286.0099999999998"/>
    <x v="0"/>
  </r>
  <r>
    <s v="ORD007"/>
    <d v="2025-02-04T00:00:00"/>
    <x v="2"/>
    <x v="1"/>
    <s v="Study Table"/>
    <n v="2"/>
    <n v="3999"/>
    <n v="0.05"/>
    <n v="7598.0999999999995"/>
    <n v="5090.7269999999999"/>
    <n v="2507.3729999999996"/>
    <x v="1"/>
  </r>
  <r>
    <s v="ORD008"/>
    <d v="2025-02-09T00:00:00"/>
    <x v="3"/>
    <x v="0"/>
    <s v="Bluetooth Speaker"/>
    <n v="4"/>
    <n v="999"/>
    <n v="0.1"/>
    <n v="3596.4"/>
    <n v="2409.5880000000002"/>
    <n v="1186.8119999999999"/>
    <x v="1"/>
  </r>
  <r>
    <s v="ORD009"/>
    <d v="2025-02-14T00:00:00"/>
    <x v="0"/>
    <x v="2"/>
    <s v="Pen Set"/>
    <n v="10"/>
    <n v="149"/>
    <n v="0"/>
    <n v="1490"/>
    <n v="998.30000000000007"/>
    <n v="491.69999999999993"/>
    <x v="1"/>
  </r>
  <r>
    <s v="ORD010"/>
    <d v="2025-02-21T00:00:00"/>
    <x v="1"/>
    <x v="3"/>
    <s v="Jacket"/>
    <n v="2"/>
    <n v="2499"/>
    <n v="0.15"/>
    <n v="4248.3"/>
    <n v="2846.3610000000003"/>
    <n v="1401.9389999999999"/>
    <x v="1"/>
  </r>
  <r>
    <s v="ORD011"/>
    <d v="2025-02-27T00:00:00"/>
    <x v="2"/>
    <x v="0"/>
    <s v="Keyboard"/>
    <n v="5"/>
    <n v="799"/>
    <n v="0.05"/>
    <n v="3795.25"/>
    <n v="2542.8175000000001"/>
    <n v="1252.4324999999999"/>
    <x v="1"/>
  </r>
  <r>
    <s v="ORD012"/>
    <d v="2025-03-03T00:00:00"/>
    <x v="3"/>
    <x v="1"/>
    <s v="Bookshelf"/>
    <n v="3"/>
    <n v="2999"/>
    <n v="0.1"/>
    <n v="8097.3"/>
    <n v="5425.1910000000007"/>
    <n v="2672.1089999999995"/>
    <x v="2"/>
  </r>
  <r>
    <s v="ORD013"/>
    <d v="2025-03-08T00:00:00"/>
    <x v="0"/>
    <x v="3"/>
    <s v="Backpack"/>
    <n v="4"/>
    <n v="1199"/>
    <n v="0.05"/>
    <n v="4556.2"/>
    <n v="3052.654"/>
    <n v="1503.5459999999998"/>
    <x v="2"/>
  </r>
  <r>
    <s v="ORD014"/>
    <d v="2025-03-15T00:00:00"/>
    <x v="1"/>
    <x v="0"/>
    <s v="Smart Watch"/>
    <n v="3"/>
    <n v="2999"/>
    <n v="0.1"/>
    <n v="8097.3"/>
    <n v="5425.1910000000007"/>
    <n v="2672.1089999999995"/>
    <x v="2"/>
  </r>
  <r>
    <s v="ORD015"/>
    <d v="2025-03-22T00:00:00"/>
    <x v="2"/>
    <x v="2"/>
    <s v="Calculator"/>
    <n v="6"/>
    <n v="499"/>
    <n v="0"/>
    <n v="2994"/>
    <n v="2005.98"/>
    <n v="988.02"/>
    <x v="2"/>
  </r>
  <r>
    <s v="ORD016"/>
    <d v="2025-03-28T00:00:00"/>
    <x v="3"/>
    <x v="1"/>
    <s v="Office Chair"/>
    <n v="2"/>
    <n v="4999"/>
    <n v="0.05"/>
    <n v="9498.1"/>
    <n v="6363.7270000000008"/>
    <n v="3134.3729999999996"/>
    <x v="2"/>
  </r>
  <r>
    <s v="ORD017"/>
    <d v="2025-04-02T00:00:00"/>
    <x v="0"/>
    <x v="0"/>
    <s v="Wireless Headphones"/>
    <n v="6"/>
    <n v="1499"/>
    <n v="0.1"/>
    <n v="8094.6"/>
    <n v="5423.3820000000005"/>
    <n v="2671.2179999999998"/>
    <x v="3"/>
  </r>
  <r>
    <s v="ORD018"/>
    <d v="2025-04-07T00:00:00"/>
    <x v="1"/>
    <x v="3"/>
    <s v="T-Shirt"/>
    <n v="8"/>
    <n v="699"/>
    <n v="0.05"/>
    <n v="5312.4"/>
    <n v="3559.308"/>
    <n v="1753.0919999999996"/>
    <x v="3"/>
  </r>
  <r>
    <s v="ORD019"/>
    <d v="2025-04-14T00:00:00"/>
    <x v="2"/>
    <x v="1"/>
    <s v="Study Table"/>
    <n v="1"/>
    <n v="3999"/>
    <n v="0"/>
    <n v="3999"/>
    <n v="2679.3300000000004"/>
    <n v="1319.6699999999996"/>
    <x v="3"/>
  </r>
  <r>
    <s v="ORD020"/>
    <d v="2025-04-20T00:00:00"/>
    <x v="3"/>
    <x v="2"/>
    <s v="File Folder"/>
    <n v="12"/>
    <n v="99"/>
    <n v="0"/>
    <n v="1188"/>
    <n v="795.96"/>
    <n v="392.03999999999996"/>
    <x v="3"/>
  </r>
  <r>
    <s v="ORD021"/>
    <d v="2025-04-26T00:00:00"/>
    <x v="0"/>
    <x v="3"/>
    <s v="Jeans"/>
    <n v="4"/>
    <n v="1299"/>
    <n v="0.1"/>
    <n v="4676.4000000000005"/>
    <n v="3133.1880000000006"/>
    <n v="1543.212"/>
    <x v="3"/>
  </r>
  <r>
    <s v="ORD022"/>
    <d v="2025-05-03T00:00:00"/>
    <x v="1"/>
    <x v="0"/>
    <s v="Bluetooth Speaker"/>
    <n v="5"/>
    <n v="999"/>
    <n v="0.05"/>
    <n v="4745.25"/>
    <n v="3179.3175000000001"/>
    <n v="1565.9324999999999"/>
    <x v="4"/>
  </r>
  <r>
    <s v="ORD023"/>
    <d v="2025-05-09T00:00:00"/>
    <x v="2"/>
    <x v="2"/>
    <s v="Notebook"/>
    <n v="15"/>
    <n v="199"/>
    <n v="0"/>
    <n v="2985"/>
    <n v="1999.95"/>
    <n v="985.05"/>
    <x v="4"/>
  </r>
  <r>
    <s v="ORD024"/>
    <d v="2025-05-16T00:00:00"/>
    <x v="3"/>
    <x v="1"/>
    <s v="Desk Lamp"/>
    <n v="7"/>
    <n v="899"/>
    <n v="0.05"/>
    <n v="5978.3499999999995"/>
    <n v="4005.4944999999998"/>
    <n v="1972.8554999999997"/>
    <x v="4"/>
  </r>
  <r>
    <s v="ORD025"/>
    <d v="2025-05-22T00:00:00"/>
    <x v="0"/>
    <x v="0"/>
    <s v="Keyboard"/>
    <n v="4"/>
    <n v="799"/>
    <n v="0.1"/>
    <n v="2876.4"/>
    <n v="1927.1880000000001"/>
    <n v="949.21199999999999"/>
    <x v="4"/>
  </r>
  <r>
    <s v="ORD026"/>
    <d v="2025-05-29T00:00:00"/>
    <x v="1"/>
    <x v="3"/>
    <s v="Jacket"/>
    <n v="3"/>
    <n v="2499"/>
    <n v="0.15"/>
    <n v="6372.45"/>
    <n v="4269.5415000000003"/>
    <n v="2102.9084999999995"/>
    <x v="4"/>
  </r>
  <r>
    <s v="ORD027"/>
    <d v="2025-06-05T00:00:00"/>
    <x v="2"/>
    <x v="1"/>
    <s v="Bookshelf"/>
    <n v="2"/>
    <n v="2999"/>
    <n v="0.1"/>
    <n v="5398.2"/>
    <n v="3616.7939999999999"/>
    <n v="1781.4059999999999"/>
    <x v="5"/>
  </r>
  <r>
    <s v="ORD028"/>
    <d v="2025-06-11T00:00:00"/>
    <x v="3"/>
    <x v="0"/>
    <s v="Smart Watch"/>
    <n v="4"/>
    <n v="2999"/>
    <n v="0.05"/>
    <n v="11396.199999999999"/>
    <n v="7635.4539999999997"/>
    <n v="3760.7459999999992"/>
    <x v="5"/>
  </r>
  <r>
    <s v="ORD029"/>
    <d v="2025-06-18T00:00:00"/>
    <x v="0"/>
    <x v="2"/>
    <s v="Calculator"/>
    <n v="9"/>
    <n v="499"/>
    <n v="0"/>
    <n v="4491"/>
    <n v="3008.9700000000003"/>
    <n v="1482.0299999999997"/>
    <x v="5"/>
  </r>
  <r>
    <s v="ORD030"/>
    <d v="2025-06-24T00:00:00"/>
    <x v="1"/>
    <x v="3"/>
    <s v="Backpack"/>
    <n v="5"/>
    <n v="1199"/>
    <n v="0.05"/>
    <n v="5695.25"/>
    <n v="3815.8175000000001"/>
    <n v="1879.4324999999999"/>
    <x v="5"/>
  </r>
  <r>
    <s v="ORD031"/>
    <d v="2025-07-02T00:00:00"/>
    <x v="2"/>
    <x v="0"/>
    <s v="Wireless Headphones"/>
    <n v="7"/>
    <n v="1499"/>
    <n v="0.1"/>
    <n v="9443.7000000000007"/>
    <n v="6327.2790000000005"/>
    <n v="3116.4210000000003"/>
    <x v="6"/>
  </r>
  <r>
    <s v="ORD032"/>
    <d v="2025-07-08T00:00:00"/>
    <x v="3"/>
    <x v="1"/>
    <s v="Office Chair"/>
    <n v="3"/>
    <n v="4999"/>
    <n v="0.05"/>
    <n v="14247.15"/>
    <n v="9545.5905000000002"/>
    <n v="4701.5594999999994"/>
    <x v="6"/>
  </r>
  <r>
    <s v="ORD033"/>
    <d v="2025-07-15T00:00:00"/>
    <x v="0"/>
    <x v="3"/>
    <s v="T-Shirt"/>
    <n v="10"/>
    <n v="699"/>
    <n v="0"/>
    <n v="6990"/>
    <n v="4683.3"/>
    <n v="2306.6999999999998"/>
    <x v="6"/>
  </r>
  <r>
    <s v="ORD034"/>
    <d v="2025-07-21T00:00:00"/>
    <x v="1"/>
    <x v="2"/>
    <s v="Pen Set"/>
    <n v="18"/>
    <n v="149"/>
    <n v="0"/>
    <n v="2682"/>
    <n v="1796.94"/>
    <n v="885.06"/>
    <x v="6"/>
  </r>
  <r>
    <s v="ORD035"/>
    <d v="2025-07-28T00:00:00"/>
    <x v="2"/>
    <x v="1"/>
    <s v="Study Table"/>
    <n v="2"/>
    <n v="3999"/>
    <n v="0.1"/>
    <n v="7198.2"/>
    <n v="4822.7939999999999"/>
    <n v="2375.4059999999999"/>
    <x v="6"/>
  </r>
  <r>
    <s v="ORD036"/>
    <d v="2025-08-04T00:00:00"/>
    <x v="3"/>
    <x v="0"/>
    <s v="Bluetooth Speaker"/>
    <n v="6"/>
    <n v="999"/>
    <n v="0.05"/>
    <n v="5694.3"/>
    <n v="3815.1810000000005"/>
    <n v="1879.1189999999997"/>
    <x v="7"/>
  </r>
  <r>
    <s v="ORD037"/>
    <d v="2025-08-10T00:00:00"/>
    <x v="0"/>
    <x v="2"/>
    <s v="Notebook"/>
    <n v="20"/>
    <n v="199"/>
    <n v="0"/>
    <n v="3980"/>
    <n v="2666.6000000000004"/>
    <n v="1313.3999999999996"/>
    <x v="7"/>
  </r>
  <r>
    <s v="ORD038"/>
    <d v="2025-08-17T00:00:00"/>
    <x v="1"/>
    <x v="3"/>
    <s v="Jeans"/>
    <n v="4"/>
    <n v="1299"/>
    <n v="0.05"/>
    <n v="4936.2"/>
    <n v="3307.2539999999999"/>
    <n v="1628.9459999999999"/>
    <x v="7"/>
  </r>
  <r>
    <s v="ORD039"/>
    <d v="2025-08-23T00:00:00"/>
    <x v="2"/>
    <x v="0"/>
    <s v="Keyboard"/>
    <n v="8"/>
    <n v="799"/>
    <n v="0.1"/>
    <n v="5752.8"/>
    <n v="3854.3760000000002"/>
    <n v="1898.424"/>
    <x v="7"/>
  </r>
  <r>
    <s v="ORD040"/>
    <d v="2025-08-30T00:00:00"/>
    <x v="3"/>
    <x v="1"/>
    <s v="Bookshelf"/>
    <n v="2"/>
    <n v="2999"/>
    <n v="0.05"/>
    <n v="5698.0999999999995"/>
    <n v="3817.7269999999999"/>
    <n v="1880.3729999999996"/>
    <x v="7"/>
  </r>
  <r>
    <s v="ORD041"/>
    <d v="2025-09-05T00:00:00"/>
    <x v="0"/>
    <x v="0"/>
    <s v="Smart Watch"/>
    <n v="3"/>
    <n v="2999"/>
    <n v="0.1"/>
    <n v="8097.3"/>
    <n v="5425.1910000000007"/>
    <n v="2672.1089999999995"/>
    <x v="8"/>
  </r>
  <r>
    <s v="ORD042"/>
    <d v="2025-09-12T00:00:00"/>
    <x v="1"/>
    <x v="3"/>
    <s v="Jacket"/>
    <n v="5"/>
    <n v="2499"/>
    <n v="0.15"/>
    <n v="10620.75"/>
    <n v="7115.9025000000001"/>
    <n v="3504.8474999999999"/>
    <x v="8"/>
  </r>
  <r>
    <s v="ORD043"/>
    <d v="2025-09-18T00:00:00"/>
    <x v="2"/>
    <x v="2"/>
    <s v="File Folder"/>
    <n v="25"/>
    <n v="99"/>
    <n v="0"/>
    <n v="2475"/>
    <n v="1658.25"/>
    <n v="816.75"/>
    <x v="8"/>
  </r>
  <r>
    <s v="ORD044"/>
    <d v="2025-09-24T00:00:00"/>
    <x v="3"/>
    <x v="1"/>
    <s v="Desk Lamp"/>
    <n v="10"/>
    <n v="899"/>
    <n v="0.05"/>
    <n v="8540.5"/>
    <n v="5722.1350000000002"/>
    <n v="2818.3649999999998"/>
    <x v="8"/>
  </r>
  <r>
    <s v="ORD045"/>
    <d v="2025-10-02T00:00:00"/>
    <x v="0"/>
    <x v="3"/>
    <s v="Backpack"/>
    <n v="6"/>
    <n v="1199"/>
    <n v="0.1"/>
    <n v="6474.6"/>
    <n v="4337.9820000000009"/>
    <n v="2136.6179999999995"/>
    <x v="9"/>
  </r>
  <r>
    <s v="ORD046"/>
    <d v="2025-10-09T00:00:00"/>
    <x v="1"/>
    <x v="0"/>
    <s v="Wireless Headphones"/>
    <n v="5"/>
    <n v="1499"/>
    <n v="0.05"/>
    <n v="7120.25"/>
    <n v="4770.5675000000001"/>
    <n v="2349.6824999999999"/>
    <x v="9"/>
  </r>
  <r>
    <s v="ORD047"/>
    <d v="2025-10-16T00:00:00"/>
    <x v="2"/>
    <x v="1"/>
    <s v="Office Chair"/>
    <n v="2"/>
    <n v="4999"/>
    <n v="0.1"/>
    <n v="8998.2000000000007"/>
    <n v="6028.7940000000008"/>
    <n v="2969.4059999999999"/>
    <x v="9"/>
  </r>
  <r>
    <s v="ORD048"/>
    <d v="2025-10-22T00:00:00"/>
    <x v="3"/>
    <x v="2"/>
    <s v="Calculator"/>
    <n v="11"/>
    <n v="499"/>
    <n v="0"/>
    <n v="5489"/>
    <n v="3677.63"/>
    <n v="1811.37"/>
    <x v="9"/>
  </r>
  <r>
    <s v="ORD049"/>
    <d v="2025-10-29T00:00:00"/>
    <x v="0"/>
    <x v="0"/>
    <s v="Bluetooth Speaker"/>
    <n v="7"/>
    <n v="999"/>
    <n v="0.05"/>
    <n v="6643.3499999999995"/>
    <n v="4451.0445"/>
    <n v="2192.3054999999995"/>
    <x v="9"/>
  </r>
  <r>
    <s v="ORD050"/>
    <d v="2025-11-05T00:00:00"/>
    <x v="1"/>
    <x v="3"/>
    <s v="T-Shirt"/>
    <n v="12"/>
    <n v="699"/>
    <n v="0"/>
    <n v="8388"/>
    <n v="5619.96"/>
    <n v="2768.04"/>
    <x v="10"/>
  </r>
  <r>
    <s v="ORD051"/>
    <d v="2025-11-12T00:00:00"/>
    <x v="2"/>
    <x v="1"/>
    <s v="Study Table"/>
    <n v="3"/>
    <n v="3999"/>
    <n v="0.05"/>
    <n v="11397.15"/>
    <n v="7636.0905000000002"/>
    <n v="3761.0594999999994"/>
    <x v="10"/>
  </r>
  <r>
    <s v="ORD052"/>
    <d v="2025-11-19T00:00:00"/>
    <x v="3"/>
    <x v="0"/>
    <s v="Smart Watch"/>
    <n v="4"/>
    <n v="2999"/>
    <n v="0.1"/>
    <n v="10796.4"/>
    <n v="7233.5879999999997"/>
    <n v="3562.8119999999999"/>
    <x v="10"/>
  </r>
  <r>
    <s v="ORD053"/>
    <d v="2025-11-26T00:00:00"/>
    <x v="0"/>
    <x v="2"/>
    <s v="Pen Set"/>
    <n v="20"/>
    <n v="149"/>
    <n v="0"/>
    <n v="2980"/>
    <n v="1996.6000000000001"/>
    <n v="983.39999999999986"/>
    <x v="10"/>
  </r>
  <r>
    <s v="ORD054"/>
    <d v="2025-12-03T00:00:00"/>
    <x v="1"/>
    <x v="3"/>
    <s v="Jeans"/>
    <n v="6"/>
    <n v="1299"/>
    <n v="0.05"/>
    <n v="7404.2999999999993"/>
    <n v="4960.8809999999994"/>
    <n v="2443.4189999999999"/>
    <x v="11"/>
  </r>
  <r>
    <s v="ORD055"/>
    <d v="2025-12-10T00:00:00"/>
    <x v="2"/>
    <x v="0"/>
    <s v="Keyboard"/>
    <n v="9"/>
    <n v="799"/>
    <n v="0.1"/>
    <n v="6471.9000000000005"/>
    <n v="4336.1730000000007"/>
    <n v="2135.7269999999999"/>
    <x v="11"/>
  </r>
  <r>
    <s v="ORD056"/>
    <d v="2025-12-17T00:00:00"/>
    <x v="3"/>
    <x v="1"/>
    <s v="Office Chair"/>
    <n v="3"/>
    <n v="4999"/>
    <n v="0.05"/>
    <n v="14247.15"/>
    <n v="9545.5905000000002"/>
    <n v="4701.5594999999994"/>
    <x v="11"/>
  </r>
  <r>
    <s v="ORD057"/>
    <d v="2025-12-22T00:00:00"/>
    <x v="0"/>
    <x v="3"/>
    <s v="Jacket"/>
    <n v="4"/>
    <n v="2499"/>
    <n v="0.15"/>
    <n v="8496.6"/>
    <n v="5692.7220000000007"/>
    <n v="2803.8779999999997"/>
    <x v="11"/>
  </r>
  <r>
    <s v="ORD058"/>
    <d v="2025-12-27T00:00:00"/>
    <x v="1"/>
    <x v="2"/>
    <s v="Notebook"/>
    <n v="30"/>
    <n v="199"/>
    <n v="0"/>
    <n v="5970"/>
    <n v="3999.9"/>
    <n v="1970.1"/>
    <x v="11"/>
  </r>
  <r>
    <s v="ORD059"/>
    <d v="2025-12-28T00:00:00"/>
    <x v="2"/>
    <x v="1"/>
    <s v="Bookshelf"/>
    <n v="4"/>
    <n v="2999"/>
    <n v="0.1"/>
    <n v="10796.4"/>
    <n v="7233.5879999999997"/>
    <n v="3562.8119999999999"/>
    <x v="11"/>
  </r>
  <r>
    <s v="ORD060"/>
    <d v="2025-12-30T00:00:00"/>
    <x v="3"/>
    <x v="0"/>
    <s v="Wireless Headphones"/>
    <n v="6"/>
    <n v="1499"/>
    <n v="0.05"/>
    <n v="8544.2999999999993"/>
    <n v="5724.6809999999996"/>
    <n v="2819.6189999999997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2BD91-19F0-4F2E-91FA-2499BFE7F7C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J3:K8" firstHeaderRow="1" firstDataRow="1" firstDataCol="1"/>
  <pivotFields count="12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Profit" fld="10" baseField="3" baseItem="0"/>
  </dataFields>
  <formats count="1">
    <format dxfId="8">
      <pivotArea grandRow="1"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12BBF-627A-446D-B8BD-F1BAE13A23E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G3:H16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8" baseField="11" baseItem="1"/>
  </dataFields>
  <formats count="1">
    <format dxfId="9">
      <pivotArea grandRow="1" outline="0" collapsedLevelsAreSubtotals="1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85231-D990-4E92-A37C-37EC515016D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8" firstHeaderRow="1" firstDataRow="1" firstDataCol="1"/>
  <pivotFields count="12">
    <pivotField compact="0" outline="0" showAll="0"/>
    <pivotField compact="0" numFmtId="14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8" baseField="2" baseItem="0"/>
  </dataFields>
  <formats count="1">
    <format dxfId="10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080F9-BAC3-4A22-8638-A6306C0067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B8" firstHeaderRow="1" firstDataRow="1" firstDataCol="1"/>
  <pivotFields count="12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8" baseField="3" baseItem="0"/>
  </dataFields>
  <formats count="1">
    <format dxfId="11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6416B-3B69-44E0-A202-9A70182839B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M3:N8" firstHeaderRow="1" firstDataRow="1" firstDataCol="1"/>
  <pivotFields count="12">
    <pivotField compact="0" outline="0" showAll="0"/>
    <pivotField compact="0" numFmtId="14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Quantity" fld="5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1676B5-385D-43A4-BEB0-314326341329}" name="SalesData" displayName="SalesData" ref="A1:H61" totalsRowShown="0">
  <autoFilter ref="A1:H61" xr:uid="{DD1676B5-385D-43A4-BEB0-314326341329}"/>
  <tableColumns count="8">
    <tableColumn id="1" xr3:uid="{9F47B10A-D488-4D19-896A-F08013644671}" name="Order ID"/>
    <tableColumn id="2" xr3:uid="{29237558-06DC-4B2C-8882-95D073550325}" name="Order Date" dataDxfId="7"/>
    <tableColumn id="3" xr3:uid="{27208E39-673E-44A6-85BC-CB7B9FA9F73D}" name="Region"/>
    <tableColumn id="4" xr3:uid="{C472D200-AF47-4A75-98B6-FFE2ECCC1A5E}" name="Category"/>
    <tableColumn id="5" xr3:uid="{367FEEFF-3D5C-4DCB-943B-95F8EF0228A2}" name="Product"/>
    <tableColumn id="6" xr3:uid="{543A1EDB-5C43-428D-A967-9FD09ED1500E}" name="Quantity"/>
    <tableColumn id="7" xr3:uid="{1CCC4A13-7B10-41AC-A079-D7787F19EF4C}" name="Unit Price"/>
    <tableColumn id="8" xr3:uid="{E956A17C-961A-47CA-ACA7-E41642F88E5B}" name="Discoun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D48A26-5152-4E48-A484-DCC0E3C3A928}" name="WorkingData" displayName="WorkingData" ref="A1:L61" totalsRowShown="0">
  <autoFilter ref="A1:L61" xr:uid="{86D48A26-5152-4E48-A484-DCC0E3C3A928}"/>
  <tableColumns count="12">
    <tableColumn id="1" xr3:uid="{89C85C2B-FD0D-44AE-BE91-CA58D13CBD91}" name="Order ID"/>
    <tableColumn id="2" xr3:uid="{8DFA979C-126B-4EEC-A79D-76E695BA8C8E}" name="Order Date" dataDxfId="5"/>
    <tableColumn id="3" xr3:uid="{EA6B492A-ED2E-4A05-86F7-FCA7AB072A5B}" name="Region"/>
    <tableColumn id="4" xr3:uid="{936CFBE4-A2E2-4165-857E-138FC2494C55}" name="Category"/>
    <tableColumn id="5" xr3:uid="{047B6547-A8B0-4498-81B1-A586B3AF1FDC}" name="Product"/>
    <tableColumn id="6" xr3:uid="{76F2223B-6B2B-46F5-A001-227672D21FA8}" name="Quantity"/>
    <tableColumn id="7" xr3:uid="{87D56438-7BBE-4DB0-86DD-A6E834EBED38}" name="Unit Price"/>
    <tableColumn id="8" xr3:uid="{52A194F8-C91B-4CF8-AD80-81BA0DC20AB2}" name="Discount" dataDxfId="4"/>
    <tableColumn id="9" xr3:uid="{59291F27-3C26-41DD-95D9-4DEF78474BCA}" name="Sales" dataDxfId="3">
      <calculatedColumnFormula>F2*G2*(1-H2)</calculatedColumnFormula>
    </tableColumn>
    <tableColumn id="10" xr3:uid="{745EA652-8B02-4310-B871-D1A9AA4BB6DC}" name="Cost" dataDxfId="2">
      <calculatedColumnFormula>I2*67%</calculatedColumnFormula>
    </tableColumn>
    <tableColumn id="11" xr3:uid="{F6289FE7-7833-40B5-A211-FF08DC8C013E}" name="Profit" dataDxfId="1">
      <calculatedColumnFormula>I2-J2</calculatedColumnFormula>
    </tableColumn>
    <tableColumn id="12" xr3:uid="{B4026094-6A10-4B84-9ABA-E7360B38AD7B}" name="Month" dataDxfId="0">
      <calculatedColumnFormula>TEXT(B2,"mmm")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78B81F-E043-4182-8D89-39B380E341B1}" name="Table5" displayName="Table5" ref="A4:B11" totalsRowShown="0">
  <autoFilter ref="A4:B11" xr:uid="{7778B81F-E043-4182-8D89-39B380E341B1}"/>
  <tableColumns count="2">
    <tableColumn id="1" xr3:uid="{9D5DABF9-DD9C-469C-BD19-5B9DD89B8775}" name="KPI"/>
    <tableColumn id="2" xr3:uid="{9CD2A33F-07F8-48E2-95C2-88C50D6D7B06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5116B5-ED6C-415B-87A5-73F89ECAA4B9}" name="Table6" displayName="Table6" ref="D4:E7" totalsRowShown="0">
  <autoFilter ref="D4:E7" xr:uid="{C05116B5-ED6C-415B-87A5-73F89ECAA4B9}"/>
  <tableColumns count="2">
    <tableColumn id="1" xr3:uid="{AB4DA7D5-F38E-435F-BBA9-7458B9D92580}" name="FormulaAnalysis"/>
    <tableColumn id="2" xr3:uid="{662B25A5-D49E-45AB-A546-2D751AE57A8E}" name="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F8F6-6AA3-4264-AA56-22B15E1D81A1}">
  <dimension ref="A1:H61"/>
  <sheetViews>
    <sheetView tabSelected="1" zoomScale="150" workbookViewId="0">
      <pane ySplit="1" topLeftCell="A2" activePane="bottomLeft" state="frozen"/>
      <selection pane="bottomLeft" activeCell="J58" sqref="J58"/>
    </sheetView>
  </sheetViews>
  <sheetFormatPr defaultRowHeight="14.5" x14ac:dyDescent="0.35"/>
  <cols>
    <col min="1" max="1" width="9.6328125" customWidth="1"/>
    <col min="2" max="2" width="16.36328125" customWidth="1"/>
    <col min="3" max="3" width="9.36328125" customWidth="1"/>
    <col min="4" max="4" width="10.81640625" customWidth="1"/>
    <col min="5" max="5" width="17.90625" customWidth="1"/>
    <col min="6" max="6" width="10" customWidth="1"/>
    <col min="7" max="7" width="11" customWidth="1"/>
    <col min="8" max="8" width="10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45662</v>
      </c>
      <c r="C2" t="s">
        <v>9</v>
      </c>
      <c r="D2" t="s">
        <v>10</v>
      </c>
      <c r="E2" t="s">
        <v>11</v>
      </c>
      <c r="F2">
        <v>3</v>
      </c>
      <c r="G2">
        <v>1499</v>
      </c>
      <c r="H2" s="2">
        <v>0.05</v>
      </c>
    </row>
    <row r="3" spans="1:8" x14ac:dyDescent="0.35">
      <c r="A3" t="s">
        <v>12</v>
      </c>
      <c r="B3" s="1">
        <v>45665</v>
      </c>
      <c r="C3" t="s">
        <v>13</v>
      </c>
      <c r="D3" t="s">
        <v>14</v>
      </c>
      <c r="E3" t="s">
        <v>15</v>
      </c>
      <c r="F3">
        <v>2</v>
      </c>
      <c r="G3">
        <v>4999</v>
      </c>
      <c r="H3" s="2">
        <v>0.1</v>
      </c>
    </row>
    <row r="4" spans="1:8" x14ac:dyDescent="0.35">
      <c r="A4" t="s">
        <v>16</v>
      </c>
      <c r="B4" s="1">
        <v>45669</v>
      </c>
      <c r="C4" t="s">
        <v>17</v>
      </c>
      <c r="D4" t="s">
        <v>18</v>
      </c>
      <c r="E4" t="s">
        <v>19</v>
      </c>
      <c r="F4">
        <v>8</v>
      </c>
      <c r="G4">
        <v>199</v>
      </c>
      <c r="H4" s="2">
        <v>0</v>
      </c>
    </row>
    <row r="5" spans="1:8" x14ac:dyDescent="0.35">
      <c r="A5" t="s">
        <v>20</v>
      </c>
      <c r="B5" s="1">
        <v>45675</v>
      </c>
      <c r="C5" t="s">
        <v>21</v>
      </c>
      <c r="D5" t="s">
        <v>22</v>
      </c>
      <c r="E5" t="s">
        <v>23</v>
      </c>
      <c r="F5">
        <v>5</v>
      </c>
      <c r="G5">
        <v>699</v>
      </c>
      <c r="H5" s="2">
        <v>0.05</v>
      </c>
    </row>
    <row r="6" spans="1:8" x14ac:dyDescent="0.35">
      <c r="A6" t="s">
        <v>24</v>
      </c>
      <c r="B6" s="1">
        <v>45680</v>
      </c>
      <c r="C6" t="s">
        <v>9</v>
      </c>
      <c r="D6" t="s">
        <v>10</v>
      </c>
      <c r="E6" t="s">
        <v>25</v>
      </c>
      <c r="F6">
        <v>2</v>
      </c>
      <c r="G6">
        <v>2999</v>
      </c>
      <c r="H6" s="2">
        <v>0.1</v>
      </c>
    </row>
    <row r="7" spans="1:8" x14ac:dyDescent="0.35">
      <c r="A7" t="s">
        <v>26</v>
      </c>
      <c r="B7" s="1">
        <v>45686</v>
      </c>
      <c r="C7" t="s">
        <v>13</v>
      </c>
      <c r="D7" t="s">
        <v>22</v>
      </c>
      <c r="E7" t="s">
        <v>27</v>
      </c>
      <c r="F7">
        <v>3</v>
      </c>
      <c r="G7">
        <v>1299</v>
      </c>
      <c r="H7" s="2">
        <v>0</v>
      </c>
    </row>
    <row r="8" spans="1:8" x14ac:dyDescent="0.35">
      <c r="A8" t="s">
        <v>28</v>
      </c>
      <c r="B8" s="1">
        <v>45692</v>
      </c>
      <c r="C8" t="s">
        <v>17</v>
      </c>
      <c r="D8" t="s">
        <v>14</v>
      </c>
      <c r="E8" t="s">
        <v>29</v>
      </c>
      <c r="F8">
        <v>2</v>
      </c>
      <c r="G8">
        <v>3999</v>
      </c>
      <c r="H8" s="2">
        <v>0.05</v>
      </c>
    </row>
    <row r="9" spans="1:8" x14ac:dyDescent="0.35">
      <c r="A9" t="s">
        <v>30</v>
      </c>
      <c r="B9" s="1">
        <v>45697</v>
      </c>
      <c r="C9" t="s">
        <v>21</v>
      </c>
      <c r="D9" t="s">
        <v>10</v>
      </c>
      <c r="E9" t="s">
        <v>31</v>
      </c>
      <c r="F9">
        <v>4</v>
      </c>
      <c r="G9">
        <v>999</v>
      </c>
      <c r="H9" s="2">
        <v>0.1</v>
      </c>
    </row>
    <row r="10" spans="1:8" x14ac:dyDescent="0.35">
      <c r="A10" t="s">
        <v>32</v>
      </c>
      <c r="B10" s="1">
        <v>45702</v>
      </c>
      <c r="C10" t="s">
        <v>9</v>
      </c>
      <c r="D10" t="s">
        <v>18</v>
      </c>
      <c r="E10" t="s">
        <v>33</v>
      </c>
      <c r="F10">
        <v>10</v>
      </c>
      <c r="G10">
        <v>149</v>
      </c>
      <c r="H10" s="2">
        <v>0</v>
      </c>
    </row>
    <row r="11" spans="1:8" x14ac:dyDescent="0.35">
      <c r="A11" t="s">
        <v>34</v>
      </c>
      <c r="B11" s="1">
        <v>45709</v>
      </c>
      <c r="C11" t="s">
        <v>13</v>
      </c>
      <c r="D11" t="s">
        <v>22</v>
      </c>
      <c r="E11" t="s">
        <v>35</v>
      </c>
      <c r="F11">
        <v>2</v>
      </c>
      <c r="G11">
        <v>2499</v>
      </c>
      <c r="H11" s="2">
        <v>0.15</v>
      </c>
    </row>
    <row r="12" spans="1:8" x14ac:dyDescent="0.35">
      <c r="A12" t="s">
        <v>36</v>
      </c>
      <c r="B12" s="1">
        <v>45715</v>
      </c>
      <c r="C12" t="s">
        <v>17</v>
      </c>
      <c r="D12" t="s">
        <v>10</v>
      </c>
      <c r="E12" t="s">
        <v>37</v>
      </c>
      <c r="F12">
        <v>5</v>
      </c>
      <c r="G12">
        <v>799</v>
      </c>
      <c r="H12" s="2">
        <v>0.05</v>
      </c>
    </row>
    <row r="13" spans="1:8" x14ac:dyDescent="0.35">
      <c r="A13" t="s">
        <v>38</v>
      </c>
      <c r="B13" s="1">
        <v>45719</v>
      </c>
      <c r="C13" t="s">
        <v>21</v>
      </c>
      <c r="D13" t="s">
        <v>14</v>
      </c>
      <c r="E13" t="s">
        <v>39</v>
      </c>
      <c r="F13">
        <v>3</v>
      </c>
      <c r="G13">
        <v>2999</v>
      </c>
      <c r="H13" s="2">
        <v>0.1</v>
      </c>
    </row>
    <row r="14" spans="1:8" x14ac:dyDescent="0.35">
      <c r="A14" t="s">
        <v>40</v>
      </c>
      <c r="B14" s="1">
        <v>45724</v>
      </c>
      <c r="C14" t="s">
        <v>9</v>
      </c>
      <c r="D14" t="s">
        <v>22</v>
      </c>
      <c r="E14" t="s">
        <v>41</v>
      </c>
      <c r="F14">
        <v>4</v>
      </c>
      <c r="G14">
        <v>1199</v>
      </c>
      <c r="H14" s="2">
        <v>0.05</v>
      </c>
    </row>
    <row r="15" spans="1:8" x14ac:dyDescent="0.35">
      <c r="A15" t="s">
        <v>42</v>
      </c>
      <c r="B15" s="1">
        <v>45731</v>
      </c>
      <c r="C15" t="s">
        <v>13</v>
      </c>
      <c r="D15" t="s">
        <v>10</v>
      </c>
      <c r="E15" t="s">
        <v>25</v>
      </c>
      <c r="F15">
        <v>3</v>
      </c>
      <c r="G15">
        <v>2999</v>
      </c>
      <c r="H15" s="2">
        <v>0.1</v>
      </c>
    </row>
    <row r="16" spans="1:8" x14ac:dyDescent="0.35">
      <c r="A16" t="s">
        <v>43</v>
      </c>
      <c r="B16" s="1">
        <v>45738</v>
      </c>
      <c r="C16" t="s">
        <v>17</v>
      </c>
      <c r="D16" t="s">
        <v>18</v>
      </c>
      <c r="E16" t="s">
        <v>44</v>
      </c>
      <c r="F16">
        <v>6</v>
      </c>
      <c r="G16">
        <v>499</v>
      </c>
      <c r="H16" s="2">
        <v>0</v>
      </c>
    </row>
    <row r="17" spans="1:8" x14ac:dyDescent="0.35">
      <c r="A17" t="s">
        <v>45</v>
      </c>
      <c r="B17" s="1">
        <v>45744</v>
      </c>
      <c r="C17" t="s">
        <v>21</v>
      </c>
      <c r="D17" t="s">
        <v>14</v>
      </c>
      <c r="E17" t="s">
        <v>15</v>
      </c>
      <c r="F17">
        <v>2</v>
      </c>
      <c r="G17">
        <v>4999</v>
      </c>
      <c r="H17" s="2">
        <v>0.05</v>
      </c>
    </row>
    <row r="18" spans="1:8" x14ac:dyDescent="0.35">
      <c r="A18" t="s">
        <v>46</v>
      </c>
      <c r="B18" s="1">
        <v>45749</v>
      </c>
      <c r="C18" t="s">
        <v>9</v>
      </c>
      <c r="D18" t="s">
        <v>10</v>
      </c>
      <c r="E18" t="s">
        <v>11</v>
      </c>
      <c r="F18">
        <v>6</v>
      </c>
      <c r="G18">
        <v>1499</v>
      </c>
      <c r="H18" s="2">
        <v>0.1</v>
      </c>
    </row>
    <row r="19" spans="1:8" x14ac:dyDescent="0.35">
      <c r="A19" t="s">
        <v>47</v>
      </c>
      <c r="B19" s="1">
        <v>45754</v>
      </c>
      <c r="C19" t="s">
        <v>13</v>
      </c>
      <c r="D19" t="s">
        <v>22</v>
      </c>
      <c r="E19" t="s">
        <v>23</v>
      </c>
      <c r="F19">
        <v>8</v>
      </c>
      <c r="G19">
        <v>699</v>
      </c>
      <c r="H19" s="2">
        <v>0.05</v>
      </c>
    </row>
    <row r="20" spans="1:8" x14ac:dyDescent="0.35">
      <c r="A20" t="s">
        <v>48</v>
      </c>
      <c r="B20" s="1">
        <v>45761</v>
      </c>
      <c r="C20" t="s">
        <v>17</v>
      </c>
      <c r="D20" t="s">
        <v>14</v>
      </c>
      <c r="E20" t="s">
        <v>29</v>
      </c>
      <c r="F20">
        <v>1</v>
      </c>
      <c r="G20">
        <v>3999</v>
      </c>
      <c r="H20" s="2">
        <v>0</v>
      </c>
    </row>
    <row r="21" spans="1:8" x14ac:dyDescent="0.35">
      <c r="A21" t="s">
        <v>49</v>
      </c>
      <c r="B21" s="1">
        <v>45767</v>
      </c>
      <c r="C21" t="s">
        <v>21</v>
      </c>
      <c r="D21" t="s">
        <v>18</v>
      </c>
      <c r="E21" t="s">
        <v>50</v>
      </c>
      <c r="F21">
        <v>12</v>
      </c>
      <c r="G21">
        <v>99</v>
      </c>
      <c r="H21" s="2">
        <v>0</v>
      </c>
    </row>
    <row r="22" spans="1:8" x14ac:dyDescent="0.35">
      <c r="A22" t="s">
        <v>51</v>
      </c>
      <c r="B22" s="1">
        <v>45773</v>
      </c>
      <c r="C22" t="s">
        <v>9</v>
      </c>
      <c r="D22" t="s">
        <v>22</v>
      </c>
      <c r="E22" t="s">
        <v>27</v>
      </c>
      <c r="F22">
        <v>4</v>
      </c>
      <c r="G22">
        <v>1299</v>
      </c>
      <c r="H22" s="2">
        <v>0.1</v>
      </c>
    </row>
    <row r="23" spans="1:8" x14ac:dyDescent="0.35">
      <c r="A23" t="s">
        <v>52</v>
      </c>
      <c r="B23" s="1">
        <v>45780</v>
      </c>
      <c r="C23" t="s">
        <v>13</v>
      </c>
      <c r="D23" t="s">
        <v>10</v>
      </c>
      <c r="E23" t="s">
        <v>31</v>
      </c>
      <c r="F23">
        <v>5</v>
      </c>
      <c r="G23">
        <v>999</v>
      </c>
      <c r="H23" s="2">
        <v>0.05</v>
      </c>
    </row>
    <row r="24" spans="1:8" x14ac:dyDescent="0.35">
      <c r="A24" t="s">
        <v>53</v>
      </c>
      <c r="B24" s="1">
        <v>45786</v>
      </c>
      <c r="C24" t="s">
        <v>17</v>
      </c>
      <c r="D24" t="s">
        <v>18</v>
      </c>
      <c r="E24" t="s">
        <v>19</v>
      </c>
      <c r="F24">
        <v>15</v>
      </c>
      <c r="G24">
        <v>199</v>
      </c>
      <c r="H24" s="2">
        <v>0</v>
      </c>
    </row>
    <row r="25" spans="1:8" x14ac:dyDescent="0.35">
      <c r="A25" t="s">
        <v>54</v>
      </c>
      <c r="B25" s="1">
        <v>45793</v>
      </c>
      <c r="C25" t="s">
        <v>21</v>
      </c>
      <c r="D25" t="s">
        <v>14</v>
      </c>
      <c r="E25" t="s">
        <v>55</v>
      </c>
      <c r="F25">
        <v>7</v>
      </c>
      <c r="G25">
        <v>899</v>
      </c>
      <c r="H25" s="2">
        <v>0.05</v>
      </c>
    </row>
    <row r="26" spans="1:8" x14ac:dyDescent="0.35">
      <c r="A26" t="s">
        <v>56</v>
      </c>
      <c r="B26" s="1">
        <v>45799</v>
      </c>
      <c r="C26" t="s">
        <v>9</v>
      </c>
      <c r="D26" t="s">
        <v>10</v>
      </c>
      <c r="E26" t="s">
        <v>37</v>
      </c>
      <c r="F26">
        <v>4</v>
      </c>
      <c r="G26">
        <v>799</v>
      </c>
      <c r="H26" s="2">
        <v>0.1</v>
      </c>
    </row>
    <row r="27" spans="1:8" x14ac:dyDescent="0.35">
      <c r="A27" t="s">
        <v>57</v>
      </c>
      <c r="B27" s="1">
        <v>45806</v>
      </c>
      <c r="C27" t="s">
        <v>13</v>
      </c>
      <c r="D27" t="s">
        <v>22</v>
      </c>
      <c r="E27" t="s">
        <v>35</v>
      </c>
      <c r="F27">
        <v>3</v>
      </c>
      <c r="G27">
        <v>2499</v>
      </c>
      <c r="H27" s="2">
        <v>0.15</v>
      </c>
    </row>
    <row r="28" spans="1:8" x14ac:dyDescent="0.35">
      <c r="A28" t="s">
        <v>58</v>
      </c>
      <c r="B28" s="1">
        <v>45813</v>
      </c>
      <c r="C28" t="s">
        <v>17</v>
      </c>
      <c r="D28" t="s">
        <v>14</v>
      </c>
      <c r="E28" t="s">
        <v>39</v>
      </c>
      <c r="F28">
        <v>2</v>
      </c>
      <c r="G28">
        <v>2999</v>
      </c>
      <c r="H28" s="2">
        <v>0.1</v>
      </c>
    </row>
    <row r="29" spans="1:8" x14ac:dyDescent="0.35">
      <c r="A29" t="s">
        <v>59</v>
      </c>
      <c r="B29" s="1">
        <v>45819</v>
      </c>
      <c r="C29" t="s">
        <v>21</v>
      </c>
      <c r="D29" t="s">
        <v>10</v>
      </c>
      <c r="E29" t="s">
        <v>25</v>
      </c>
      <c r="F29">
        <v>4</v>
      </c>
      <c r="G29">
        <v>2999</v>
      </c>
      <c r="H29" s="2">
        <v>0.05</v>
      </c>
    </row>
    <row r="30" spans="1:8" x14ac:dyDescent="0.35">
      <c r="A30" t="s">
        <v>60</v>
      </c>
      <c r="B30" s="1">
        <v>45826</v>
      </c>
      <c r="C30" t="s">
        <v>9</v>
      </c>
      <c r="D30" t="s">
        <v>18</v>
      </c>
      <c r="E30" t="s">
        <v>44</v>
      </c>
      <c r="F30">
        <v>9</v>
      </c>
      <c r="G30">
        <v>499</v>
      </c>
      <c r="H30" s="2">
        <v>0</v>
      </c>
    </row>
    <row r="31" spans="1:8" x14ac:dyDescent="0.35">
      <c r="A31" t="s">
        <v>61</v>
      </c>
      <c r="B31" s="1">
        <v>45832</v>
      </c>
      <c r="C31" t="s">
        <v>13</v>
      </c>
      <c r="D31" t="s">
        <v>22</v>
      </c>
      <c r="E31" t="s">
        <v>41</v>
      </c>
      <c r="F31">
        <v>5</v>
      </c>
      <c r="G31">
        <v>1199</v>
      </c>
      <c r="H31" s="2">
        <v>0.05</v>
      </c>
    </row>
    <row r="32" spans="1:8" x14ac:dyDescent="0.35">
      <c r="A32" t="s">
        <v>62</v>
      </c>
      <c r="B32" s="1">
        <v>45840</v>
      </c>
      <c r="C32" t="s">
        <v>17</v>
      </c>
      <c r="D32" t="s">
        <v>10</v>
      </c>
      <c r="E32" t="s">
        <v>11</v>
      </c>
      <c r="F32">
        <v>7</v>
      </c>
      <c r="G32">
        <v>1499</v>
      </c>
      <c r="H32" s="2">
        <v>0.1</v>
      </c>
    </row>
    <row r="33" spans="1:8" x14ac:dyDescent="0.35">
      <c r="A33" t="s">
        <v>63</v>
      </c>
      <c r="B33" s="1">
        <v>45846</v>
      </c>
      <c r="C33" t="s">
        <v>21</v>
      </c>
      <c r="D33" t="s">
        <v>14</v>
      </c>
      <c r="E33" t="s">
        <v>15</v>
      </c>
      <c r="F33">
        <v>3</v>
      </c>
      <c r="G33">
        <v>4999</v>
      </c>
      <c r="H33" s="2">
        <v>0.05</v>
      </c>
    </row>
    <row r="34" spans="1:8" x14ac:dyDescent="0.35">
      <c r="A34" t="s">
        <v>64</v>
      </c>
      <c r="B34" s="1">
        <v>45853</v>
      </c>
      <c r="C34" t="s">
        <v>9</v>
      </c>
      <c r="D34" t="s">
        <v>22</v>
      </c>
      <c r="E34" t="s">
        <v>23</v>
      </c>
      <c r="F34">
        <v>10</v>
      </c>
      <c r="G34">
        <v>699</v>
      </c>
      <c r="H34" s="2">
        <v>0</v>
      </c>
    </row>
    <row r="35" spans="1:8" x14ac:dyDescent="0.35">
      <c r="A35" t="s">
        <v>65</v>
      </c>
      <c r="B35" s="1">
        <v>45859</v>
      </c>
      <c r="C35" t="s">
        <v>13</v>
      </c>
      <c r="D35" t="s">
        <v>18</v>
      </c>
      <c r="E35" t="s">
        <v>33</v>
      </c>
      <c r="F35">
        <v>18</v>
      </c>
      <c r="G35">
        <v>149</v>
      </c>
      <c r="H35" s="2">
        <v>0</v>
      </c>
    </row>
    <row r="36" spans="1:8" x14ac:dyDescent="0.35">
      <c r="A36" t="s">
        <v>66</v>
      </c>
      <c r="B36" s="1">
        <v>45866</v>
      </c>
      <c r="C36" t="s">
        <v>17</v>
      </c>
      <c r="D36" t="s">
        <v>14</v>
      </c>
      <c r="E36" t="s">
        <v>29</v>
      </c>
      <c r="F36">
        <v>2</v>
      </c>
      <c r="G36">
        <v>3999</v>
      </c>
      <c r="H36" s="2">
        <v>0.1</v>
      </c>
    </row>
    <row r="37" spans="1:8" x14ac:dyDescent="0.35">
      <c r="A37" t="s">
        <v>67</v>
      </c>
      <c r="B37" s="1">
        <v>45873</v>
      </c>
      <c r="C37" t="s">
        <v>21</v>
      </c>
      <c r="D37" t="s">
        <v>10</v>
      </c>
      <c r="E37" t="s">
        <v>31</v>
      </c>
      <c r="F37">
        <v>6</v>
      </c>
      <c r="G37">
        <v>999</v>
      </c>
      <c r="H37" s="2">
        <v>0.05</v>
      </c>
    </row>
    <row r="38" spans="1:8" x14ac:dyDescent="0.35">
      <c r="A38" t="s">
        <v>68</v>
      </c>
      <c r="B38" s="1">
        <v>45879</v>
      </c>
      <c r="C38" t="s">
        <v>9</v>
      </c>
      <c r="D38" t="s">
        <v>18</v>
      </c>
      <c r="E38" t="s">
        <v>19</v>
      </c>
      <c r="F38">
        <v>20</v>
      </c>
      <c r="G38">
        <v>199</v>
      </c>
      <c r="H38" s="2">
        <v>0</v>
      </c>
    </row>
    <row r="39" spans="1:8" x14ac:dyDescent="0.35">
      <c r="A39" t="s">
        <v>69</v>
      </c>
      <c r="B39" s="1">
        <v>45886</v>
      </c>
      <c r="C39" t="s">
        <v>13</v>
      </c>
      <c r="D39" t="s">
        <v>22</v>
      </c>
      <c r="E39" t="s">
        <v>27</v>
      </c>
      <c r="F39">
        <v>4</v>
      </c>
      <c r="G39">
        <v>1299</v>
      </c>
      <c r="H39" s="2">
        <v>0.05</v>
      </c>
    </row>
    <row r="40" spans="1:8" x14ac:dyDescent="0.35">
      <c r="A40" t="s">
        <v>70</v>
      </c>
      <c r="B40" s="1">
        <v>45892</v>
      </c>
      <c r="C40" t="s">
        <v>17</v>
      </c>
      <c r="D40" t="s">
        <v>10</v>
      </c>
      <c r="E40" t="s">
        <v>37</v>
      </c>
      <c r="F40">
        <v>8</v>
      </c>
      <c r="G40">
        <v>799</v>
      </c>
      <c r="H40" s="2">
        <v>0.1</v>
      </c>
    </row>
    <row r="41" spans="1:8" x14ac:dyDescent="0.35">
      <c r="A41" t="s">
        <v>71</v>
      </c>
      <c r="B41" s="1">
        <v>45899</v>
      </c>
      <c r="C41" t="s">
        <v>21</v>
      </c>
      <c r="D41" t="s">
        <v>14</v>
      </c>
      <c r="E41" t="s">
        <v>39</v>
      </c>
      <c r="F41">
        <v>2</v>
      </c>
      <c r="G41">
        <v>2999</v>
      </c>
      <c r="H41" s="2">
        <v>0.05</v>
      </c>
    </row>
    <row r="42" spans="1:8" x14ac:dyDescent="0.35">
      <c r="A42" t="s">
        <v>72</v>
      </c>
      <c r="B42" s="1">
        <v>45905</v>
      </c>
      <c r="C42" t="s">
        <v>9</v>
      </c>
      <c r="D42" t="s">
        <v>10</v>
      </c>
      <c r="E42" t="s">
        <v>25</v>
      </c>
      <c r="F42">
        <v>3</v>
      </c>
      <c r="G42">
        <v>2999</v>
      </c>
      <c r="H42" s="2">
        <v>0.1</v>
      </c>
    </row>
    <row r="43" spans="1:8" x14ac:dyDescent="0.35">
      <c r="A43" t="s">
        <v>73</v>
      </c>
      <c r="B43" s="1">
        <v>45912</v>
      </c>
      <c r="C43" t="s">
        <v>13</v>
      </c>
      <c r="D43" t="s">
        <v>22</v>
      </c>
      <c r="E43" t="s">
        <v>35</v>
      </c>
      <c r="F43">
        <v>5</v>
      </c>
      <c r="G43">
        <v>2499</v>
      </c>
      <c r="H43" s="2">
        <v>0.15</v>
      </c>
    </row>
    <row r="44" spans="1:8" x14ac:dyDescent="0.35">
      <c r="A44" t="s">
        <v>74</v>
      </c>
      <c r="B44" s="1">
        <v>45918</v>
      </c>
      <c r="C44" t="s">
        <v>17</v>
      </c>
      <c r="D44" t="s">
        <v>18</v>
      </c>
      <c r="E44" t="s">
        <v>50</v>
      </c>
      <c r="F44">
        <v>25</v>
      </c>
      <c r="G44">
        <v>99</v>
      </c>
      <c r="H44" s="2">
        <v>0</v>
      </c>
    </row>
    <row r="45" spans="1:8" x14ac:dyDescent="0.35">
      <c r="A45" t="s">
        <v>75</v>
      </c>
      <c r="B45" s="1">
        <v>45924</v>
      </c>
      <c r="C45" t="s">
        <v>21</v>
      </c>
      <c r="D45" t="s">
        <v>14</v>
      </c>
      <c r="E45" t="s">
        <v>55</v>
      </c>
      <c r="F45">
        <v>10</v>
      </c>
      <c r="G45">
        <v>899</v>
      </c>
      <c r="H45" s="2">
        <v>0.05</v>
      </c>
    </row>
    <row r="46" spans="1:8" x14ac:dyDescent="0.35">
      <c r="A46" t="s">
        <v>76</v>
      </c>
      <c r="B46" s="1">
        <v>45932</v>
      </c>
      <c r="C46" t="s">
        <v>9</v>
      </c>
      <c r="D46" t="s">
        <v>22</v>
      </c>
      <c r="E46" t="s">
        <v>41</v>
      </c>
      <c r="F46">
        <v>6</v>
      </c>
      <c r="G46">
        <v>1199</v>
      </c>
      <c r="H46" s="2">
        <v>0.1</v>
      </c>
    </row>
    <row r="47" spans="1:8" x14ac:dyDescent="0.35">
      <c r="A47" t="s">
        <v>77</v>
      </c>
      <c r="B47" s="1">
        <v>45939</v>
      </c>
      <c r="C47" t="s">
        <v>13</v>
      </c>
      <c r="D47" t="s">
        <v>10</v>
      </c>
      <c r="E47" t="s">
        <v>11</v>
      </c>
      <c r="F47">
        <v>5</v>
      </c>
      <c r="G47">
        <v>1499</v>
      </c>
      <c r="H47" s="2">
        <v>0.05</v>
      </c>
    </row>
    <row r="48" spans="1:8" x14ac:dyDescent="0.35">
      <c r="A48" t="s">
        <v>78</v>
      </c>
      <c r="B48" s="1">
        <v>45946</v>
      </c>
      <c r="C48" t="s">
        <v>17</v>
      </c>
      <c r="D48" t="s">
        <v>14</v>
      </c>
      <c r="E48" t="s">
        <v>15</v>
      </c>
      <c r="F48">
        <v>2</v>
      </c>
      <c r="G48">
        <v>4999</v>
      </c>
      <c r="H48" s="2">
        <v>0.1</v>
      </c>
    </row>
    <row r="49" spans="1:8" x14ac:dyDescent="0.35">
      <c r="A49" t="s">
        <v>79</v>
      </c>
      <c r="B49" s="1">
        <v>45952</v>
      </c>
      <c r="C49" t="s">
        <v>21</v>
      </c>
      <c r="D49" t="s">
        <v>18</v>
      </c>
      <c r="E49" t="s">
        <v>44</v>
      </c>
      <c r="F49">
        <v>11</v>
      </c>
      <c r="G49">
        <v>499</v>
      </c>
      <c r="H49" s="2">
        <v>0</v>
      </c>
    </row>
    <row r="50" spans="1:8" x14ac:dyDescent="0.35">
      <c r="A50" t="s">
        <v>80</v>
      </c>
      <c r="B50" s="1">
        <v>45959</v>
      </c>
      <c r="C50" t="s">
        <v>9</v>
      </c>
      <c r="D50" t="s">
        <v>10</v>
      </c>
      <c r="E50" t="s">
        <v>31</v>
      </c>
      <c r="F50">
        <v>7</v>
      </c>
      <c r="G50">
        <v>999</v>
      </c>
      <c r="H50" s="2">
        <v>0.05</v>
      </c>
    </row>
    <row r="51" spans="1:8" x14ac:dyDescent="0.35">
      <c r="A51" t="s">
        <v>81</v>
      </c>
      <c r="B51" s="1">
        <v>45966</v>
      </c>
      <c r="C51" t="s">
        <v>13</v>
      </c>
      <c r="D51" t="s">
        <v>22</v>
      </c>
      <c r="E51" t="s">
        <v>23</v>
      </c>
      <c r="F51">
        <v>12</v>
      </c>
      <c r="G51">
        <v>699</v>
      </c>
      <c r="H51" s="2">
        <v>0</v>
      </c>
    </row>
    <row r="52" spans="1:8" x14ac:dyDescent="0.35">
      <c r="A52" t="s">
        <v>82</v>
      </c>
      <c r="B52" s="1">
        <v>45973</v>
      </c>
      <c r="C52" t="s">
        <v>17</v>
      </c>
      <c r="D52" t="s">
        <v>14</v>
      </c>
      <c r="E52" t="s">
        <v>29</v>
      </c>
      <c r="F52">
        <v>3</v>
      </c>
      <c r="G52">
        <v>3999</v>
      </c>
      <c r="H52" s="2">
        <v>0.05</v>
      </c>
    </row>
    <row r="53" spans="1:8" x14ac:dyDescent="0.35">
      <c r="A53" t="s">
        <v>83</v>
      </c>
      <c r="B53" s="1">
        <v>45980</v>
      </c>
      <c r="C53" t="s">
        <v>21</v>
      </c>
      <c r="D53" t="s">
        <v>10</v>
      </c>
      <c r="E53" t="s">
        <v>25</v>
      </c>
      <c r="F53">
        <v>4</v>
      </c>
      <c r="G53">
        <v>2999</v>
      </c>
      <c r="H53" s="2">
        <v>0.1</v>
      </c>
    </row>
    <row r="54" spans="1:8" x14ac:dyDescent="0.35">
      <c r="A54" t="s">
        <v>84</v>
      </c>
      <c r="B54" s="1">
        <v>45987</v>
      </c>
      <c r="C54" t="s">
        <v>9</v>
      </c>
      <c r="D54" t="s">
        <v>18</v>
      </c>
      <c r="E54" t="s">
        <v>33</v>
      </c>
      <c r="F54">
        <v>20</v>
      </c>
      <c r="G54">
        <v>149</v>
      </c>
      <c r="H54" s="2">
        <v>0</v>
      </c>
    </row>
    <row r="55" spans="1:8" x14ac:dyDescent="0.35">
      <c r="A55" t="s">
        <v>85</v>
      </c>
      <c r="B55" s="1">
        <v>45994</v>
      </c>
      <c r="C55" t="s">
        <v>13</v>
      </c>
      <c r="D55" t="s">
        <v>22</v>
      </c>
      <c r="E55" t="s">
        <v>27</v>
      </c>
      <c r="F55">
        <v>6</v>
      </c>
      <c r="G55">
        <v>1299</v>
      </c>
      <c r="H55" s="2">
        <v>0.05</v>
      </c>
    </row>
    <row r="56" spans="1:8" x14ac:dyDescent="0.35">
      <c r="A56" t="s">
        <v>86</v>
      </c>
      <c r="B56" s="1">
        <v>46001</v>
      </c>
      <c r="C56" t="s">
        <v>17</v>
      </c>
      <c r="D56" t="s">
        <v>10</v>
      </c>
      <c r="E56" t="s">
        <v>37</v>
      </c>
      <c r="F56">
        <v>9</v>
      </c>
      <c r="G56">
        <v>799</v>
      </c>
      <c r="H56" s="2">
        <v>0.1</v>
      </c>
    </row>
    <row r="57" spans="1:8" x14ac:dyDescent="0.35">
      <c r="A57" t="s">
        <v>87</v>
      </c>
      <c r="B57" s="1">
        <v>46008</v>
      </c>
      <c r="C57" t="s">
        <v>21</v>
      </c>
      <c r="D57" t="s">
        <v>14</v>
      </c>
      <c r="E57" t="s">
        <v>15</v>
      </c>
      <c r="F57">
        <v>3</v>
      </c>
      <c r="G57">
        <v>4999</v>
      </c>
      <c r="H57" s="2">
        <v>0.05</v>
      </c>
    </row>
    <row r="58" spans="1:8" x14ac:dyDescent="0.35">
      <c r="A58" t="s">
        <v>88</v>
      </c>
      <c r="B58" s="1">
        <v>46013</v>
      </c>
      <c r="C58" t="s">
        <v>9</v>
      </c>
      <c r="D58" t="s">
        <v>22</v>
      </c>
      <c r="E58" t="s">
        <v>35</v>
      </c>
      <c r="F58">
        <v>4</v>
      </c>
      <c r="G58">
        <v>2499</v>
      </c>
      <c r="H58" s="2">
        <v>0.15</v>
      </c>
    </row>
    <row r="59" spans="1:8" x14ac:dyDescent="0.35">
      <c r="A59" t="s">
        <v>89</v>
      </c>
      <c r="B59" s="1">
        <v>46018</v>
      </c>
      <c r="C59" t="s">
        <v>13</v>
      </c>
      <c r="D59" t="s">
        <v>18</v>
      </c>
      <c r="E59" t="s">
        <v>19</v>
      </c>
      <c r="F59">
        <v>30</v>
      </c>
      <c r="G59">
        <v>199</v>
      </c>
      <c r="H59" s="2">
        <v>0</v>
      </c>
    </row>
    <row r="60" spans="1:8" x14ac:dyDescent="0.35">
      <c r="A60" t="s">
        <v>90</v>
      </c>
      <c r="B60" s="1">
        <v>46019</v>
      </c>
      <c r="C60" t="s">
        <v>17</v>
      </c>
      <c r="D60" t="s">
        <v>14</v>
      </c>
      <c r="E60" t="s">
        <v>39</v>
      </c>
      <c r="F60">
        <v>4</v>
      </c>
      <c r="G60">
        <v>2999</v>
      </c>
      <c r="H60" s="2">
        <v>0.1</v>
      </c>
    </row>
    <row r="61" spans="1:8" x14ac:dyDescent="0.35">
      <c r="A61" t="s">
        <v>91</v>
      </c>
      <c r="B61" s="1">
        <v>46021</v>
      </c>
      <c r="C61" t="s">
        <v>21</v>
      </c>
      <c r="D61" t="s">
        <v>10</v>
      </c>
      <c r="E61" t="s">
        <v>11</v>
      </c>
      <c r="F61">
        <v>6</v>
      </c>
      <c r="G61">
        <v>1499</v>
      </c>
      <c r="H61" s="2">
        <v>0.05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2AD7-49B6-486C-BA05-CAA496D99ECD}">
  <dimension ref="A1:N16"/>
  <sheetViews>
    <sheetView zoomScale="77" zoomScaleNormal="46" workbookViewId="0">
      <selection activeCell="M28" sqref="M28"/>
    </sheetView>
  </sheetViews>
  <sheetFormatPr defaultRowHeight="14.5" x14ac:dyDescent="0.35"/>
  <cols>
    <col min="1" max="1" width="13" bestFit="1" customWidth="1"/>
    <col min="2" max="2" width="17.26953125" customWidth="1"/>
    <col min="3" max="3" width="12.26953125" customWidth="1"/>
    <col min="4" max="4" width="10.36328125" bestFit="1" customWidth="1"/>
    <col min="5" max="5" width="15.81640625" customWidth="1"/>
    <col min="6" max="6" width="12" customWidth="1"/>
    <col min="7" max="7" width="10.36328125" bestFit="1" customWidth="1"/>
    <col min="8" max="8" width="20.81640625" customWidth="1"/>
    <col min="9" max="9" width="13.26953125" customWidth="1"/>
    <col min="10" max="10" width="13" bestFit="1" customWidth="1"/>
    <col min="11" max="11" width="19.6328125" customWidth="1"/>
    <col min="12" max="12" width="6.26953125" customWidth="1"/>
    <col min="13" max="13" width="10.36328125" bestFit="1" customWidth="1"/>
    <col min="14" max="14" width="12.453125" bestFit="1" customWidth="1"/>
  </cols>
  <sheetData>
    <row r="1" spans="1:14" ht="21" x14ac:dyDescent="0.5">
      <c r="A1" s="5" t="s">
        <v>110</v>
      </c>
      <c r="D1" s="5" t="s">
        <v>111</v>
      </c>
      <c r="G1" s="5" t="s">
        <v>124</v>
      </c>
      <c r="J1" s="5" t="s">
        <v>125</v>
      </c>
      <c r="M1" s="5" t="s">
        <v>126</v>
      </c>
    </row>
    <row r="3" spans="1:14" x14ac:dyDescent="0.35">
      <c r="A3" s="4" t="s">
        <v>3</v>
      </c>
      <c r="B3" t="s">
        <v>98</v>
      </c>
      <c r="D3" s="4" t="s">
        <v>2</v>
      </c>
      <c r="E3" t="s">
        <v>98</v>
      </c>
      <c r="G3" s="4" t="s">
        <v>95</v>
      </c>
      <c r="H3" t="s">
        <v>98</v>
      </c>
      <c r="J3" s="4" t="s">
        <v>3</v>
      </c>
      <c r="K3" t="s">
        <v>100</v>
      </c>
      <c r="M3" s="4" t="s">
        <v>2</v>
      </c>
      <c r="N3" t="s">
        <v>102</v>
      </c>
    </row>
    <row r="4" spans="1:14" x14ac:dyDescent="0.35">
      <c r="A4" t="s">
        <v>22</v>
      </c>
      <c r="B4">
        <v>91388.700000000012</v>
      </c>
      <c r="D4" t="s">
        <v>17</v>
      </c>
      <c r="E4">
        <v>90894.89999999998</v>
      </c>
      <c r="G4" t="s">
        <v>112</v>
      </c>
      <c r="H4">
        <v>27477.8</v>
      </c>
      <c r="J4" t="s">
        <v>22</v>
      </c>
      <c r="K4">
        <v>30158.270999999997</v>
      </c>
      <c r="M4" t="s">
        <v>17</v>
      </c>
      <c r="N4">
        <v>99</v>
      </c>
    </row>
    <row r="5" spans="1:14" x14ac:dyDescent="0.35">
      <c r="A5" t="s">
        <v>10</v>
      </c>
      <c r="B5">
        <v>120836.05</v>
      </c>
      <c r="D5" t="s">
        <v>9</v>
      </c>
      <c r="E5">
        <v>79516.800000000017</v>
      </c>
      <c r="G5" t="s">
        <v>113</v>
      </c>
      <c r="H5">
        <v>20728.05</v>
      </c>
      <c r="J5" t="s">
        <v>10</v>
      </c>
      <c r="K5">
        <v>39875.896499999995</v>
      </c>
      <c r="M5" t="s">
        <v>9</v>
      </c>
      <c r="N5">
        <v>112</v>
      </c>
    </row>
    <row r="6" spans="1:14" x14ac:dyDescent="0.35">
      <c r="A6" t="s">
        <v>14</v>
      </c>
      <c r="B6">
        <v>130690.09999999998</v>
      </c>
      <c r="D6" t="s">
        <v>13</v>
      </c>
      <c r="E6">
        <v>94487.65</v>
      </c>
      <c r="G6" t="s">
        <v>114</v>
      </c>
      <c r="H6">
        <v>33242.9</v>
      </c>
      <c r="J6" t="s">
        <v>14</v>
      </c>
      <c r="K6">
        <v>43127.732999999986</v>
      </c>
      <c r="M6" t="s">
        <v>13</v>
      </c>
      <c r="N6">
        <v>111</v>
      </c>
    </row>
    <row r="7" spans="1:14" x14ac:dyDescent="0.35">
      <c r="A7" t="s">
        <v>18</v>
      </c>
      <c r="B7">
        <v>38316</v>
      </c>
      <c r="D7" t="s">
        <v>21</v>
      </c>
      <c r="E7">
        <v>116331.5</v>
      </c>
      <c r="G7" t="s">
        <v>115</v>
      </c>
      <c r="H7">
        <v>23270.400000000001</v>
      </c>
      <c r="J7" t="s">
        <v>18</v>
      </c>
      <c r="K7">
        <v>12644.279999999999</v>
      </c>
      <c r="M7" t="s">
        <v>21</v>
      </c>
      <c r="N7">
        <v>82</v>
      </c>
    </row>
    <row r="8" spans="1:14" x14ac:dyDescent="0.35">
      <c r="A8" t="s">
        <v>109</v>
      </c>
      <c r="B8" s="6">
        <v>381230.85</v>
      </c>
      <c r="D8" t="s">
        <v>109</v>
      </c>
      <c r="E8" s="6">
        <v>381230.85</v>
      </c>
      <c r="G8" t="s">
        <v>116</v>
      </c>
      <c r="H8">
        <v>22957.45</v>
      </c>
      <c r="J8" t="s">
        <v>109</v>
      </c>
      <c r="K8" s="6">
        <v>125806.18049999999</v>
      </c>
      <c r="M8" t="s">
        <v>109</v>
      </c>
      <c r="N8">
        <v>404</v>
      </c>
    </row>
    <row r="9" spans="1:14" x14ac:dyDescent="0.35">
      <c r="G9" t="s">
        <v>117</v>
      </c>
      <c r="H9">
        <v>26980.649999999998</v>
      </c>
    </row>
    <row r="10" spans="1:14" x14ac:dyDescent="0.35">
      <c r="G10" t="s">
        <v>118</v>
      </c>
      <c r="H10">
        <v>40561.049999999996</v>
      </c>
    </row>
    <row r="11" spans="1:14" x14ac:dyDescent="0.35">
      <c r="G11" t="s">
        <v>119</v>
      </c>
      <c r="H11">
        <v>26061.399999999998</v>
      </c>
    </row>
    <row r="12" spans="1:14" x14ac:dyDescent="0.35">
      <c r="G12" t="s">
        <v>120</v>
      </c>
      <c r="H12">
        <v>29733.55</v>
      </c>
    </row>
    <row r="13" spans="1:14" x14ac:dyDescent="0.35">
      <c r="G13" t="s">
        <v>121</v>
      </c>
      <c r="H13">
        <v>34725.4</v>
      </c>
    </row>
    <row r="14" spans="1:14" x14ac:dyDescent="0.35">
      <c r="G14" t="s">
        <v>122</v>
      </c>
      <c r="H14">
        <v>33561.550000000003</v>
      </c>
    </row>
    <row r="15" spans="1:14" x14ac:dyDescent="0.35">
      <c r="G15" t="s">
        <v>123</v>
      </c>
      <c r="H15">
        <v>61930.649999999994</v>
      </c>
    </row>
    <row r="16" spans="1:14" x14ac:dyDescent="0.35">
      <c r="G16" t="s">
        <v>109</v>
      </c>
      <c r="H16" s="6">
        <v>381230.85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6518-9C2A-44D8-BCD4-B941E4376C4E}">
  <dimension ref="A1:L61"/>
  <sheetViews>
    <sheetView zoomScale="118" zoomScaleNormal="120" workbookViewId="0">
      <selection activeCell="D19" sqref="D19"/>
    </sheetView>
  </sheetViews>
  <sheetFormatPr defaultRowHeight="14.5" x14ac:dyDescent="0.35"/>
  <cols>
    <col min="1" max="1" width="13.1796875" customWidth="1"/>
    <col min="2" max="2" width="19.36328125" customWidth="1"/>
    <col min="3" max="3" width="10" customWidth="1"/>
    <col min="4" max="4" width="14.36328125" customWidth="1"/>
    <col min="5" max="5" width="20.1796875" customWidth="1"/>
    <col min="6" max="6" width="9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92</v>
      </c>
      <c r="J1" t="s">
        <v>93</v>
      </c>
      <c r="K1" t="s">
        <v>94</v>
      </c>
      <c r="L1" t="s">
        <v>95</v>
      </c>
    </row>
    <row r="2" spans="1:12" x14ac:dyDescent="0.35">
      <c r="A2" t="s">
        <v>8</v>
      </c>
      <c r="B2" s="1">
        <v>45662</v>
      </c>
      <c r="C2" t="s">
        <v>9</v>
      </c>
      <c r="D2" t="s">
        <v>10</v>
      </c>
      <c r="E2" t="s">
        <v>11</v>
      </c>
      <c r="F2">
        <v>3</v>
      </c>
      <c r="G2">
        <v>1499</v>
      </c>
      <c r="H2" s="2">
        <v>0.05</v>
      </c>
      <c r="I2">
        <f t="shared" ref="I2:I33" si="0">F2*G2*(1-H2)</f>
        <v>4272.1499999999996</v>
      </c>
      <c r="J2">
        <f t="shared" ref="J2:J33" si="1">I2*67%</f>
        <v>2862.3404999999998</v>
      </c>
      <c r="K2">
        <f t="shared" ref="K2:K33" si="2">I2-J2</f>
        <v>1409.8094999999998</v>
      </c>
      <c r="L2" t="str">
        <f t="shared" ref="L2:L33" si="3">TEXT(B2,"mmm")</f>
        <v>Jan</v>
      </c>
    </row>
    <row r="3" spans="1:12" x14ac:dyDescent="0.35">
      <c r="A3" t="s">
        <v>12</v>
      </c>
      <c r="B3" s="1">
        <v>45665</v>
      </c>
      <c r="C3" t="s">
        <v>13</v>
      </c>
      <c r="D3" t="s">
        <v>14</v>
      </c>
      <c r="E3" t="s">
        <v>15</v>
      </c>
      <c r="F3">
        <v>2</v>
      </c>
      <c r="G3">
        <v>4999</v>
      </c>
      <c r="H3" s="2">
        <v>0.1</v>
      </c>
      <c r="I3">
        <f t="shared" si="0"/>
        <v>8998.2000000000007</v>
      </c>
      <c r="J3">
        <f t="shared" si="1"/>
        <v>6028.7940000000008</v>
      </c>
      <c r="K3">
        <f t="shared" si="2"/>
        <v>2969.4059999999999</v>
      </c>
      <c r="L3" t="str">
        <f t="shared" si="3"/>
        <v>Jan</v>
      </c>
    </row>
    <row r="4" spans="1:12" x14ac:dyDescent="0.35">
      <c r="A4" t="s">
        <v>16</v>
      </c>
      <c r="B4" s="1">
        <v>45669</v>
      </c>
      <c r="C4" t="s">
        <v>17</v>
      </c>
      <c r="D4" t="s">
        <v>18</v>
      </c>
      <c r="E4" t="s">
        <v>19</v>
      </c>
      <c r="F4">
        <v>8</v>
      </c>
      <c r="G4">
        <v>199</v>
      </c>
      <c r="H4" s="2">
        <v>0</v>
      </c>
      <c r="I4">
        <f t="shared" si="0"/>
        <v>1592</v>
      </c>
      <c r="J4">
        <f t="shared" si="1"/>
        <v>1066.6400000000001</v>
      </c>
      <c r="K4">
        <f t="shared" si="2"/>
        <v>525.3599999999999</v>
      </c>
      <c r="L4" t="str">
        <f t="shared" si="3"/>
        <v>Jan</v>
      </c>
    </row>
    <row r="5" spans="1:12" x14ac:dyDescent="0.35">
      <c r="A5" t="s">
        <v>20</v>
      </c>
      <c r="B5" s="1">
        <v>45675</v>
      </c>
      <c r="C5" t="s">
        <v>21</v>
      </c>
      <c r="D5" t="s">
        <v>22</v>
      </c>
      <c r="E5" t="s">
        <v>23</v>
      </c>
      <c r="F5">
        <v>5</v>
      </c>
      <c r="G5">
        <v>699</v>
      </c>
      <c r="H5" s="2">
        <v>0.05</v>
      </c>
      <c r="I5">
        <f t="shared" si="0"/>
        <v>3320.25</v>
      </c>
      <c r="J5">
        <f t="shared" si="1"/>
        <v>2224.5675000000001</v>
      </c>
      <c r="K5">
        <f t="shared" si="2"/>
        <v>1095.6824999999999</v>
      </c>
      <c r="L5" t="str">
        <f t="shared" si="3"/>
        <v>Jan</v>
      </c>
    </row>
    <row r="6" spans="1:12" x14ac:dyDescent="0.35">
      <c r="A6" t="s">
        <v>24</v>
      </c>
      <c r="B6" s="1">
        <v>45680</v>
      </c>
      <c r="C6" t="s">
        <v>9</v>
      </c>
      <c r="D6" t="s">
        <v>10</v>
      </c>
      <c r="E6" t="s">
        <v>25</v>
      </c>
      <c r="F6">
        <v>2</v>
      </c>
      <c r="G6">
        <v>2999</v>
      </c>
      <c r="H6" s="2">
        <v>0.1</v>
      </c>
      <c r="I6">
        <f t="shared" si="0"/>
        <v>5398.2</v>
      </c>
      <c r="J6">
        <f t="shared" si="1"/>
        <v>3616.7939999999999</v>
      </c>
      <c r="K6">
        <f t="shared" si="2"/>
        <v>1781.4059999999999</v>
      </c>
      <c r="L6" t="str">
        <f t="shared" si="3"/>
        <v>Jan</v>
      </c>
    </row>
    <row r="7" spans="1:12" x14ac:dyDescent="0.35">
      <c r="A7" t="s">
        <v>26</v>
      </c>
      <c r="B7" s="1">
        <v>45686</v>
      </c>
      <c r="C7" t="s">
        <v>13</v>
      </c>
      <c r="D7" t="s">
        <v>22</v>
      </c>
      <c r="E7" t="s">
        <v>27</v>
      </c>
      <c r="F7">
        <v>3</v>
      </c>
      <c r="G7">
        <v>1299</v>
      </c>
      <c r="H7" s="2">
        <v>0</v>
      </c>
      <c r="I7">
        <f t="shared" si="0"/>
        <v>3897</v>
      </c>
      <c r="J7">
        <f t="shared" si="1"/>
        <v>2610.9900000000002</v>
      </c>
      <c r="K7">
        <f t="shared" si="2"/>
        <v>1286.0099999999998</v>
      </c>
      <c r="L7" t="str">
        <f t="shared" si="3"/>
        <v>Jan</v>
      </c>
    </row>
    <row r="8" spans="1:12" x14ac:dyDescent="0.35">
      <c r="A8" t="s">
        <v>28</v>
      </c>
      <c r="B8" s="1">
        <v>45692</v>
      </c>
      <c r="C8" t="s">
        <v>17</v>
      </c>
      <c r="D8" t="s">
        <v>14</v>
      </c>
      <c r="E8" t="s">
        <v>29</v>
      </c>
      <c r="F8">
        <v>2</v>
      </c>
      <c r="G8">
        <v>3999</v>
      </c>
      <c r="H8" s="2">
        <v>0.05</v>
      </c>
      <c r="I8">
        <f t="shared" si="0"/>
        <v>7598.0999999999995</v>
      </c>
      <c r="J8">
        <f t="shared" si="1"/>
        <v>5090.7269999999999</v>
      </c>
      <c r="K8">
        <f t="shared" si="2"/>
        <v>2507.3729999999996</v>
      </c>
      <c r="L8" t="str">
        <f t="shared" si="3"/>
        <v>Feb</v>
      </c>
    </row>
    <row r="9" spans="1:12" x14ac:dyDescent="0.35">
      <c r="A9" t="s">
        <v>30</v>
      </c>
      <c r="B9" s="1">
        <v>45697</v>
      </c>
      <c r="C9" t="s">
        <v>21</v>
      </c>
      <c r="D9" t="s">
        <v>10</v>
      </c>
      <c r="E9" t="s">
        <v>31</v>
      </c>
      <c r="F9">
        <v>4</v>
      </c>
      <c r="G9">
        <v>999</v>
      </c>
      <c r="H9" s="2">
        <v>0.1</v>
      </c>
      <c r="I9">
        <f t="shared" si="0"/>
        <v>3596.4</v>
      </c>
      <c r="J9">
        <f t="shared" si="1"/>
        <v>2409.5880000000002</v>
      </c>
      <c r="K9">
        <f t="shared" si="2"/>
        <v>1186.8119999999999</v>
      </c>
      <c r="L9" t="str">
        <f t="shared" si="3"/>
        <v>Feb</v>
      </c>
    </row>
    <row r="10" spans="1:12" x14ac:dyDescent="0.35">
      <c r="A10" t="s">
        <v>32</v>
      </c>
      <c r="B10" s="1">
        <v>45702</v>
      </c>
      <c r="C10" t="s">
        <v>9</v>
      </c>
      <c r="D10" t="s">
        <v>18</v>
      </c>
      <c r="E10" t="s">
        <v>33</v>
      </c>
      <c r="F10">
        <v>10</v>
      </c>
      <c r="G10">
        <v>149</v>
      </c>
      <c r="H10" s="2">
        <v>0</v>
      </c>
      <c r="I10">
        <f t="shared" si="0"/>
        <v>1490</v>
      </c>
      <c r="J10">
        <f t="shared" si="1"/>
        <v>998.30000000000007</v>
      </c>
      <c r="K10">
        <f t="shared" si="2"/>
        <v>491.69999999999993</v>
      </c>
      <c r="L10" t="str">
        <f t="shared" si="3"/>
        <v>Feb</v>
      </c>
    </row>
    <row r="11" spans="1:12" x14ac:dyDescent="0.35">
      <c r="A11" t="s">
        <v>34</v>
      </c>
      <c r="B11" s="1">
        <v>45709</v>
      </c>
      <c r="C11" t="s">
        <v>13</v>
      </c>
      <c r="D11" t="s">
        <v>22</v>
      </c>
      <c r="E11" t="s">
        <v>35</v>
      </c>
      <c r="F11">
        <v>2</v>
      </c>
      <c r="G11">
        <v>2499</v>
      </c>
      <c r="H11" s="2">
        <v>0.15</v>
      </c>
      <c r="I11">
        <f t="shared" si="0"/>
        <v>4248.3</v>
      </c>
      <c r="J11">
        <f t="shared" si="1"/>
        <v>2846.3610000000003</v>
      </c>
      <c r="K11">
        <f t="shared" si="2"/>
        <v>1401.9389999999999</v>
      </c>
      <c r="L11" t="str">
        <f t="shared" si="3"/>
        <v>Feb</v>
      </c>
    </row>
    <row r="12" spans="1:12" x14ac:dyDescent="0.35">
      <c r="A12" t="s">
        <v>36</v>
      </c>
      <c r="B12" s="1">
        <v>45715</v>
      </c>
      <c r="C12" t="s">
        <v>17</v>
      </c>
      <c r="D12" t="s">
        <v>10</v>
      </c>
      <c r="E12" t="s">
        <v>37</v>
      </c>
      <c r="F12">
        <v>5</v>
      </c>
      <c r="G12">
        <v>799</v>
      </c>
      <c r="H12" s="2">
        <v>0.05</v>
      </c>
      <c r="I12">
        <f t="shared" si="0"/>
        <v>3795.25</v>
      </c>
      <c r="J12">
        <f t="shared" si="1"/>
        <v>2542.8175000000001</v>
      </c>
      <c r="K12">
        <f t="shared" si="2"/>
        <v>1252.4324999999999</v>
      </c>
      <c r="L12" t="str">
        <f t="shared" si="3"/>
        <v>Feb</v>
      </c>
    </row>
    <row r="13" spans="1:12" x14ac:dyDescent="0.35">
      <c r="A13" t="s">
        <v>38</v>
      </c>
      <c r="B13" s="1">
        <v>45719</v>
      </c>
      <c r="C13" t="s">
        <v>21</v>
      </c>
      <c r="D13" t="s">
        <v>14</v>
      </c>
      <c r="E13" t="s">
        <v>39</v>
      </c>
      <c r="F13">
        <v>3</v>
      </c>
      <c r="G13">
        <v>2999</v>
      </c>
      <c r="H13" s="2">
        <v>0.1</v>
      </c>
      <c r="I13">
        <f t="shared" si="0"/>
        <v>8097.3</v>
      </c>
      <c r="J13">
        <f t="shared" si="1"/>
        <v>5425.1910000000007</v>
      </c>
      <c r="K13">
        <f t="shared" si="2"/>
        <v>2672.1089999999995</v>
      </c>
      <c r="L13" t="str">
        <f t="shared" si="3"/>
        <v>Mar</v>
      </c>
    </row>
    <row r="14" spans="1:12" x14ac:dyDescent="0.35">
      <c r="A14" t="s">
        <v>40</v>
      </c>
      <c r="B14" s="1">
        <v>45724</v>
      </c>
      <c r="C14" t="s">
        <v>9</v>
      </c>
      <c r="D14" t="s">
        <v>22</v>
      </c>
      <c r="E14" t="s">
        <v>41</v>
      </c>
      <c r="F14">
        <v>4</v>
      </c>
      <c r="G14">
        <v>1199</v>
      </c>
      <c r="H14" s="2">
        <v>0.05</v>
      </c>
      <c r="I14">
        <f t="shared" si="0"/>
        <v>4556.2</v>
      </c>
      <c r="J14">
        <f t="shared" si="1"/>
        <v>3052.654</v>
      </c>
      <c r="K14">
        <f t="shared" si="2"/>
        <v>1503.5459999999998</v>
      </c>
      <c r="L14" t="str">
        <f t="shared" si="3"/>
        <v>Mar</v>
      </c>
    </row>
    <row r="15" spans="1:12" x14ac:dyDescent="0.35">
      <c r="A15" t="s">
        <v>42</v>
      </c>
      <c r="B15" s="1">
        <v>45731</v>
      </c>
      <c r="C15" t="s">
        <v>13</v>
      </c>
      <c r="D15" t="s">
        <v>10</v>
      </c>
      <c r="E15" t="s">
        <v>25</v>
      </c>
      <c r="F15">
        <v>3</v>
      </c>
      <c r="G15">
        <v>2999</v>
      </c>
      <c r="H15" s="2">
        <v>0.1</v>
      </c>
      <c r="I15">
        <f t="shared" si="0"/>
        <v>8097.3</v>
      </c>
      <c r="J15">
        <f t="shared" si="1"/>
        <v>5425.1910000000007</v>
      </c>
      <c r="K15">
        <f t="shared" si="2"/>
        <v>2672.1089999999995</v>
      </c>
      <c r="L15" t="str">
        <f t="shared" si="3"/>
        <v>Mar</v>
      </c>
    </row>
    <row r="16" spans="1:12" x14ac:dyDescent="0.35">
      <c r="A16" t="s">
        <v>43</v>
      </c>
      <c r="B16" s="1">
        <v>45738</v>
      </c>
      <c r="C16" t="s">
        <v>17</v>
      </c>
      <c r="D16" t="s">
        <v>18</v>
      </c>
      <c r="E16" t="s">
        <v>44</v>
      </c>
      <c r="F16">
        <v>6</v>
      </c>
      <c r="G16">
        <v>499</v>
      </c>
      <c r="H16" s="2">
        <v>0</v>
      </c>
      <c r="I16">
        <f t="shared" si="0"/>
        <v>2994</v>
      </c>
      <c r="J16">
        <f t="shared" si="1"/>
        <v>2005.98</v>
      </c>
      <c r="K16">
        <f t="shared" si="2"/>
        <v>988.02</v>
      </c>
      <c r="L16" t="str">
        <f t="shared" si="3"/>
        <v>Mar</v>
      </c>
    </row>
    <row r="17" spans="1:12" x14ac:dyDescent="0.35">
      <c r="A17" t="s">
        <v>45</v>
      </c>
      <c r="B17" s="1">
        <v>45744</v>
      </c>
      <c r="C17" t="s">
        <v>21</v>
      </c>
      <c r="D17" t="s">
        <v>14</v>
      </c>
      <c r="E17" t="s">
        <v>15</v>
      </c>
      <c r="F17">
        <v>2</v>
      </c>
      <c r="G17">
        <v>4999</v>
      </c>
      <c r="H17" s="2">
        <v>0.05</v>
      </c>
      <c r="I17">
        <f t="shared" si="0"/>
        <v>9498.1</v>
      </c>
      <c r="J17">
        <f t="shared" si="1"/>
        <v>6363.7270000000008</v>
      </c>
      <c r="K17">
        <f t="shared" si="2"/>
        <v>3134.3729999999996</v>
      </c>
      <c r="L17" t="str">
        <f t="shared" si="3"/>
        <v>Mar</v>
      </c>
    </row>
    <row r="18" spans="1:12" x14ac:dyDescent="0.35">
      <c r="A18" t="s">
        <v>46</v>
      </c>
      <c r="B18" s="1">
        <v>45749</v>
      </c>
      <c r="C18" t="s">
        <v>9</v>
      </c>
      <c r="D18" t="s">
        <v>10</v>
      </c>
      <c r="E18" t="s">
        <v>11</v>
      </c>
      <c r="F18">
        <v>6</v>
      </c>
      <c r="G18">
        <v>1499</v>
      </c>
      <c r="H18" s="2">
        <v>0.1</v>
      </c>
      <c r="I18">
        <f t="shared" si="0"/>
        <v>8094.6</v>
      </c>
      <c r="J18">
        <f t="shared" si="1"/>
        <v>5423.3820000000005</v>
      </c>
      <c r="K18">
        <f t="shared" si="2"/>
        <v>2671.2179999999998</v>
      </c>
      <c r="L18" t="str">
        <f t="shared" si="3"/>
        <v>Apr</v>
      </c>
    </row>
    <row r="19" spans="1:12" x14ac:dyDescent="0.35">
      <c r="A19" t="s">
        <v>47</v>
      </c>
      <c r="B19" s="1">
        <v>45754</v>
      </c>
      <c r="C19" t="s">
        <v>13</v>
      </c>
      <c r="D19" t="s">
        <v>22</v>
      </c>
      <c r="E19" t="s">
        <v>23</v>
      </c>
      <c r="F19">
        <v>8</v>
      </c>
      <c r="G19">
        <v>699</v>
      </c>
      <c r="H19" s="2">
        <v>0.05</v>
      </c>
      <c r="I19">
        <f t="shared" si="0"/>
        <v>5312.4</v>
      </c>
      <c r="J19">
        <f t="shared" si="1"/>
        <v>3559.308</v>
      </c>
      <c r="K19">
        <f t="shared" si="2"/>
        <v>1753.0919999999996</v>
      </c>
      <c r="L19" t="str">
        <f t="shared" si="3"/>
        <v>Apr</v>
      </c>
    </row>
    <row r="20" spans="1:12" x14ac:dyDescent="0.35">
      <c r="A20" t="s">
        <v>48</v>
      </c>
      <c r="B20" s="1">
        <v>45761</v>
      </c>
      <c r="C20" t="s">
        <v>17</v>
      </c>
      <c r="D20" t="s">
        <v>14</v>
      </c>
      <c r="E20" t="s">
        <v>29</v>
      </c>
      <c r="F20">
        <v>1</v>
      </c>
      <c r="G20">
        <v>3999</v>
      </c>
      <c r="H20" s="2">
        <v>0</v>
      </c>
      <c r="I20">
        <f t="shared" si="0"/>
        <v>3999</v>
      </c>
      <c r="J20">
        <f t="shared" si="1"/>
        <v>2679.3300000000004</v>
      </c>
      <c r="K20">
        <f t="shared" si="2"/>
        <v>1319.6699999999996</v>
      </c>
      <c r="L20" t="str">
        <f t="shared" si="3"/>
        <v>Apr</v>
      </c>
    </row>
    <row r="21" spans="1:12" x14ac:dyDescent="0.35">
      <c r="A21" t="s">
        <v>49</v>
      </c>
      <c r="B21" s="1">
        <v>45767</v>
      </c>
      <c r="C21" t="s">
        <v>21</v>
      </c>
      <c r="D21" t="s">
        <v>18</v>
      </c>
      <c r="E21" t="s">
        <v>50</v>
      </c>
      <c r="F21">
        <v>12</v>
      </c>
      <c r="G21">
        <v>99</v>
      </c>
      <c r="H21" s="2">
        <v>0</v>
      </c>
      <c r="I21">
        <f t="shared" si="0"/>
        <v>1188</v>
      </c>
      <c r="J21">
        <f t="shared" si="1"/>
        <v>795.96</v>
      </c>
      <c r="K21">
        <f t="shared" si="2"/>
        <v>392.03999999999996</v>
      </c>
      <c r="L21" t="str">
        <f t="shared" si="3"/>
        <v>Apr</v>
      </c>
    </row>
    <row r="22" spans="1:12" x14ac:dyDescent="0.35">
      <c r="A22" t="s">
        <v>51</v>
      </c>
      <c r="B22" s="1">
        <v>45773</v>
      </c>
      <c r="C22" t="s">
        <v>9</v>
      </c>
      <c r="D22" t="s">
        <v>22</v>
      </c>
      <c r="E22" t="s">
        <v>27</v>
      </c>
      <c r="F22">
        <v>4</v>
      </c>
      <c r="G22">
        <v>1299</v>
      </c>
      <c r="H22" s="2">
        <v>0.1</v>
      </c>
      <c r="I22">
        <f t="shared" si="0"/>
        <v>4676.4000000000005</v>
      </c>
      <c r="J22">
        <f t="shared" si="1"/>
        <v>3133.1880000000006</v>
      </c>
      <c r="K22">
        <f t="shared" si="2"/>
        <v>1543.212</v>
      </c>
      <c r="L22" t="str">
        <f t="shared" si="3"/>
        <v>Apr</v>
      </c>
    </row>
    <row r="23" spans="1:12" x14ac:dyDescent="0.35">
      <c r="A23" t="s">
        <v>52</v>
      </c>
      <c r="B23" s="1">
        <v>45780</v>
      </c>
      <c r="C23" t="s">
        <v>13</v>
      </c>
      <c r="D23" t="s">
        <v>10</v>
      </c>
      <c r="E23" t="s">
        <v>31</v>
      </c>
      <c r="F23">
        <v>5</v>
      </c>
      <c r="G23">
        <v>999</v>
      </c>
      <c r="H23" s="2">
        <v>0.05</v>
      </c>
      <c r="I23">
        <f t="shared" si="0"/>
        <v>4745.25</v>
      </c>
      <c r="J23">
        <f t="shared" si="1"/>
        <v>3179.3175000000001</v>
      </c>
      <c r="K23">
        <f t="shared" si="2"/>
        <v>1565.9324999999999</v>
      </c>
      <c r="L23" t="str">
        <f t="shared" si="3"/>
        <v>May</v>
      </c>
    </row>
    <row r="24" spans="1:12" x14ac:dyDescent="0.35">
      <c r="A24" t="s">
        <v>53</v>
      </c>
      <c r="B24" s="1">
        <v>45786</v>
      </c>
      <c r="C24" t="s">
        <v>17</v>
      </c>
      <c r="D24" t="s">
        <v>18</v>
      </c>
      <c r="E24" t="s">
        <v>19</v>
      </c>
      <c r="F24">
        <v>15</v>
      </c>
      <c r="G24">
        <v>199</v>
      </c>
      <c r="H24" s="2">
        <v>0</v>
      </c>
      <c r="I24">
        <f t="shared" si="0"/>
        <v>2985</v>
      </c>
      <c r="J24">
        <f t="shared" si="1"/>
        <v>1999.95</v>
      </c>
      <c r="K24">
        <f t="shared" si="2"/>
        <v>985.05</v>
      </c>
      <c r="L24" t="str">
        <f t="shared" si="3"/>
        <v>May</v>
      </c>
    </row>
    <row r="25" spans="1:12" x14ac:dyDescent="0.35">
      <c r="A25" t="s">
        <v>54</v>
      </c>
      <c r="B25" s="1">
        <v>45793</v>
      </c>
      <c r="C25" t="s">
        <v>21</v>
      </c>
      <c r="D25" t="s">
        <v>14</v>
      </c>
      <c r="E25" t="s">
        <v>55</v>
      </c>
      <c r="F25">
        <v>7</v>
      </c>
      <c r="G25">
        <v>899</v>
      </c>
      <c r="H25" s="2">
        <v>0.05</v>
      </c>
      <c r="I25">
        <f t="shared" si="0"/>
        <v>5978.3499999999995</v>
      </c>
      <c r="J25">
        <f t="shared" si="1"/>
        <v>4005.4944999999998</v>
      </c>
      <c r="K25">
        <f t="shared" si="2"/>
        <v>1972.8554999999997</v>
      </c>
      <c r="L25" t="str">
        <f t="shared" si="3"/>
        <v>May</v>
      </c>
    </row>
    <row r="26" spans="1:12" x14ac:dyDescent="0.35">
      <c r="A26" t="s">
        <v>56</v>
      </c>
      <c r="B26" s="1">
        <v>45799</v>
      </c>
      <c r="C26" t="s">
        <v>9</v>
      </c>
      <c r="D26" t="s">
        <v>10</v>
      </c>
      <c r="E26" t="s">
        <v>37</v>
      </c>
      <c r="F26">
        <v>4</v>
      </c>
      <c r="G26">
        <v>799</v>
      </c>
      <c r="H26" s="2">
        <v>0.1</v>
      </c>
      <c r="I26">
        <f t="shared" si="0"/>
        <v>2876.4</v>
      </c>
      <c r="J26">
        <f t="shared" si="1"/>
        <v>1927.1880000000001</v>
      </c>
      <c r="K26">
        <f t="shared" si="2"/>
        <v>949.21199999999999</v>
      </c>
      <c r="L26" t="str">
        <f t="shared" si="3"/>
        <v>May</v>
      </c>
    </row>
    <row r="27" spans="1:12" x14ac:dyDescent="0.35">
      <c r="A27" t="s">
        <v>57</v>
      </c>
      <c r="B27" s="1">
        <v>45806</v>
      </c>
      <c r="C27" t="s">
        <v>13</v>
      </c>
      <c r="D27" t="s">
        <v>22</v>
      </c>
      <c r="E27" t="s">
        <v>35</v>
      </c>
      <c r="F27">
        <v>3</v>
      </c>
      <c r="G27">
        <v>2499</v>
      </c>
      <c r="H27" s="2">
        <v>0.15</v>
      </c>
      <c r="I27">
        <f t="shared" si="0"/>
        <v>6372.45</v>
      </c>
      <c r="J27">
        <f t="shared" si="1"/>
        <v>4269.5415000000003</v>
      </c>
      <c r="K27">
        <f t="shared" si="2"/>
        <v>2102.9084999999995</v>
      </c>
      <c r="L27" t="str">
        <f t="shared" si="3"/>
        <v>May</v>
      </c>
    </row>
    <row r="28" spans="1:12" x14ac:dyDescent="0.35">
      <c r="A28" t="s">
        <v>58</v>
      </c>
      <c r="B28" s="1">
        <v>45813</v>
      </c>
      <c r="C28" t="s">
        <v>17</v>
      </c>
      <c r="D28" t="s">
        <v>14</v>
      </c>
      <c r="E28" t="s">
        <v>39</v>
      </c>
      <c r="F28">
        <v>2</v>
      </c>
      <c r="G28">
        <v>2999</v>
      </c>
      <c r="H28" s="2">
        <v>0.1</v>
      </c>
      <c r="I28">
        <f t="shared" si="0"/>
        <v>5398.2</v>
      </c>
      <c r="J28">
        <f t="shared" si="1"/>
        <v>3616.7939999999999</v>
      </c>
      <c r="K28">
        <f t="shared" si="2"/>
        <v>1781.4059999999999</v>
      </c>
      <c r="L28" t="str">
        <f t="shared" si="3"/>
        <v>Jun</v>
      </c>
    </row>
    <row r="29" spans="1:12" x14ac:dyDescent="0.35">
      <c r="A29" t="s">
        <v>59</v>
      </c>
      <c r="B29" s="1">
        <v>45819</v>
      </c>
      <c r="C29" t="s">
        <v>21</v>
      </c>
      <c r="D29" t="s">
        <v>10</v>
      </c>
      <c r="E29" t="s">
        <v>25</v>
      </c>
      <c r="F29">
        <v>4</v>
      </c>
      <c r="G29">
        <v>2999</v>
      </c>
      <c r="H29" s="2">
        <v>0.05</v>
      </c>
      <c r="I29">
        <f t="shared" si="0"/>
        <v>11396.199999999999</v>
      </c>
      <c r="J29">
        <f t="shared" si="1"/>
        <v>7635.4539999999997</v>
      </c>
      <c r="K29">
        <f t="shared" si="2"/>
        <v>3760.7459999999992</v>
      </c>
      <c r="L29" t="str">
        <f t="shared" si="3"/>
        <v>Jun</v>
      </c>
    </row>
    <row r="30" spans="1:12" x14ac:dyDescent="0.35">
      <c r="A30" t="s">
        <v>60</v>
      </c>
      <c r="B30" s="1">
        <v>45826</v>
      </c>
      <c r="C30" t="s">
        <v>9</v>
      </c>
      <c r="D30" t="s">
        <v>18</v>
      </c>
      <c r="E30" t="s">
        <v>44</v>
      </c>
      <c r="F30">
        <v>9</v>
      </c>
      <c r="G30">
        <v>499</v>
      </c>
      <c r="H30" s="2">
        <v>0</v>
      </c>
      <c r="I30">
        <f t="shared" si="0"/>
        <v>4491</v>
      </c>
      <c r="J30">
        <f t="shared" si="1"/>
        <v>3008.9700000000003</v>
      </c>
      <c r="K30">
        <f t="shared" si="2"/>
        <v>1482.0299999999997</v>
      </c>
      <c r="L30" t="str">
        <f t="shared" si="3"/>
        <v>Jun</v>
      </c>
    </row>
    <row r="31" spans="1:12" x14ac:dyDescent="0.35">
      <c r="A31" t="s">
        <v>61</v>
      </c>
      <c r="B31" s="1">
        <v>45832</v>
      </c>
      <c r="C31" t="s">
        <v>13</v>
      </c>
      <c r="D31" t="s">
        <v>22</v>
      </c>
      <c r="E31" t="s">
        <v>41</v>
      </c>
      <c r="F31">
        <v>5</v>
      </c>
      <c r="G31">
        <v>1199</v>
      </c>
      <c r="H31" s="2">
        <v>0.05</v>
      </c>
      <c r="I31">
        <f t="shared" si="0"/>
        <v>5695.25</v>
      </c>
      <c r="J31">
        <f t="shared" si="1"/>
        <v>3815.8175000000001</v>
      </c>
      <c r="K31">
        <f t="shared" si="2"/>
        <v>1879.4324999999999</v>
      </c>
      <c r="L31" t="str">
        <f t="shared" si="3"/>
        <v>Jun</v>
      </c>
    </row>
    <row r="32" spans="1:12" x14ac:dyDescent="0.35">
      <c r="A32" t="s">
        <v>62</v>
      </c>
      <c r="B32" s="1">
        <v>45840</v>
      </c>
      <c r="C32" t="s">
        <v>17</v>
      </c>
      <c r="D32" t="s">
        <v>10</v>
      </c>
      <c r="E32" t="s">
        <v>11</v>
      </c>
      <c r="F32">
        <v>7</v>
      </c>
      <c r="G32">
        <v>1499</v>
      </c>
      <c r="H32" s="2">
        <v>0.1</v>
      </c>
      <c r="I32">
        <f t="shared" si="0"/>
        <v>9443.7000000000007</v>
      </c>
      <c r="J32">
        <f t="shared" si="1"/>
        <v>6327.2790000000005</v>
      </c>
      <c r="K32">
        <f t="shared" si="2"/>
        <v>3116.4210000000003</v>
      </c>
      <c r="L32" t="str">
        <f t="shared" si="3"/>
        <v>Jul</v>
      </c>
    </row>
    <row r="33" spans="1:12" x14ac:dyDescent="0.35">
      <c r="A33" t="s">
        <v>63</v>
      </c>
      <c r="B33" s="1">
        <v>45846</v>
      </c>
      <c r="C33" t="s">
        <v>21</v>
      </c>
      <c r="D33" t="s">
        <v>14</v>
      </c>
      <c r="E33" t="s">
        <v>15</v>
      </c>
      <c r="F33">
        <v>3</v>
      </c>
      <c r="G33">
        <v>4999</v>
      </c>
      <c r="H33" s="2">
        <v>0.05</v>
      </c>
      <c r="I33">
        <f t="shared" si="0"/>
        <v>14247.15</v>
      </c>
      <c r="J33">
        <f t="shared" si="1"/>
        <v>9545.5905000000002</v>
      </c>
      <c r="K33">
        <f t="shared" si="2"/>
        <v>4701.5594999999994</v>
      </c>
      <c r="L33" t="str">
        <f t="shared" si="3"/>
        <v>Jul</v>
      </c>
    </row>
    <row r="34" spans="1:12" x14ac:dyDescent="0.35">
      <c r="A34" t="s">
        <v>64</v>
      </c>
      <c r="B34" s="1">
        <v>45853</v>
      </c>
      <c r="C34" t="s">
        <v>9</v>
      </c>
      <c r="D34" t="s">
        <v>22</v>
      </c>
      <c r="E34" t="s">
        <v>23</v>
      </c>
      <c r="F34">
        <v>10</v>
      </c>
      <c r="G34">
        <v>699</v>
      </c>
      <c r="H34" s="2">
        <v>0</v>
      </c>
      <c r="I34">
        <f t="shared" ref="I34:I61" si="4">F34*G34*(1-H34)</f>
        <v>6990</v>
      </c>
      <c r="J34">
        <f t="shared" ref="J34:J61" si="5">I34*67%</f>
        <v>4683.3</v>
      </c>
      <c r="K34">
        <f t="shared" ref="K34:K61" si="6">I34-J34</f>
        <v>2306.6999999999998</v>
      </c>
      <c r="L34" t="str">
        <f t="shared" ref="L34:L61" si="7">TEXT(B34,"mmm")</f>
        <v>Jul</v>
      </c>
    </row>
    <row r="35" spans="1:12" x14ac:dyDescent="0.35">
      <c r="A35" t="s">
        <v>65</v>
      </c>
      <c r="B35" s="1">
        <v>45859</v>
      </c>
      <c r="C35" t="s">
        <v>13</v>
      </c>
      <c r="D35" t="s">
        <v>18</v>
      </c>
      <c r="E35" t="s">
        <v>33</v>
      </c>
      <c r="F35">
        <v>18</v>
      </c>
      <c r="G35">
        <v>149</v>
      </c>
      <c r="H35" s="2">
        <v>0</v>
      </c>
      <c r="I35">
        <f t="shared" si="4"/>
        <v>2682</v>
      </c>
      <c r="J35">
        <f t="shared" si="5"/>
        <v>1796.94</v>
      </c>
      <c r="K35">
        <f t="shared" si="6"/>
        <v>885.06</v>
      </c>
      <c r="L35" t="str">
        <f t="shared" si="7"/>
        <v>Jul</v>
      </c>
    </row>
    <row r="36" spans="1:12" x14ac:dyDescent="0.35">
      <c r="A36" t="s">
        <v>66</v>
      </c>
      <c r="B36" s="1">
        <v>45866</v>
      </c>
      <c r="C36" t="s">
        <v>17</v>
      </c>
      <c r="D36" t="s">
        <v>14</v>
      </c>
      <c r="E36" t="s">
        <v>29</v>
      </c>
      <c r="F36">
        <v>2</v>
      </c>
      <c r="G36">
        <v>3999</v>
      </c>
      <c r="H36" s="2">
        <v>0.1</v>
      </c>
      <c r="I36">
        <f t="shared" si="4"/>
        <v>7198.2</v>
      </c>
      <c r="J36">
        <f t="shared" si="5"/>
        <v>4822.7939999999999</v>
      </c>
      <c r="K36">
        <f t="shared" si="6"/>
        <v>2375.4059999999999</v>
      </c>
      <c r="L36" t="str">
        <f t="shared" si="7"/>
        <v>Jul</v>
      </c>
    </row>
    <row r="37" spans="1:12" x14ac:dyDescent="0.35">
      <c r="A37" t="s">
        <v>67</v>
      </c>
      <c r="B37" s="1">
        <v>45873</v>
      </c>
      <c r="C37" t="s">
        <v>21</v>
      </c>
      <c r="D37" t="s">
        <v>10</v>
      </c>
      <c r="E37" t="s">
        <v>31</v>
      </c>
      <c r="F37">
        <v>6</v>
      </c>
      <c r="G37">
        <v>999</v>
      </c>
      <c r="H37" s="2">
        <v>0.05</v>
      </c>
      <c r="I37">
        <f t="shared" si="4"/>
        <v>5694.3</v>
      </c>
      <c r="J37">
        <f t="shared" si="5"/>
        <v>3815.1810000000005</v>
      </c>
      <c r="K37">
        <f t="shared" si="6"/>
        <v>1879.1189999999997</v>
      </c>
      <c r="L37" t="str">
        <f t="shared" si="7"/>
        <v>Aug</v>
      </c>
    </row>
    <row r="38" spans="1:12" x14ac:dyDescent="0.35">
      <c r="A38" t="s">
        <v>68</v>
      </c>
      <c r="B38" s="1">
        <v>45879</v>
      </c>
      <c r="C38" t="s">
        <v>9</v>
      </c>
      <c r="D38" t="s">
        <v>18</v>
      </c>
      <c r="E38" t="s">
        <v>19</v>
      </c>
      <c r="F38">
        <v>20</v>
      </c>
      <c r="G38">
        <v>199</v>
      </c>
      <c r="H38" s="2">
        <v>0</v>
      </c>
      <c r="I38">
        <f t="shared" si="4"/>
        <v>3980</v>
      </c>
      <c r="J38">
        <f t="shared" si="5"/>
        <v>2666.6000000000004</v>
      </c>
      <c r="K38">
        <f t="shared" si="6"/>
        <v>1313.3999999999996</v>
      </c>
      <c r="L38" t="str">
        <f t="shared" si="7"/>
        <v>Aug</v>
      </c>
    </row>
    <row r="39" spans="1:12" x14ac:dyDescent="0.35">
      <c r="A39" t="s">
        <v>69</v>
      </c>
      <c r="B39" s="1">
        <v>45886</v>
      </c>
      <c r="C39" t="s">
        <v>13</v>
      </c>
      <c r="D39" t="s">
        <v>22</v>
      </c>
      <c r="E39" t="s">
        <v>27</v>
      </c>
      <c r="F39">
        <v>4</v>
      </c>
      <c r="G39">
        <v>1299</v>
      </c>
      <c r="H39" s="2">
        <v>0.05</v>
      </c>
      <c r="I39">
        <f t="shared" si="4"/>
        <v>4936.2</v>
      </c>
      <c r="J39">
        <f t="shared" si="5"/>
        <v>3307.2539999999999</v>
      </c>
      <c r="K39">
        <f t="shared" si="6"/>
        <v>1628.9459999999999</v>
      </c>
      <c r="L39" t="str">
        <f t="shared" si="7"/>
        <v>Aug</v>
      </c>
    </row>
    <row r="40" spans="1:12" x14ac:dyDescent="0.35">
      <c r="A40" t="s">
        <v>70</v>
      </c>
      <c r="B40" s="1">
        <v>45892</v>
      </c>
      <c r="C40" t="s">
        <v>17</v>
      </c>
      <c r="D40" t="s">
        <v>10</v>
      </c>
      <c r="E40" t="s">
        <v>37</v>
      </c>
      <c r="F40">
        <v>8</v>
      </c>
      <c r="G40">
        <v>799</v>
      </c>
      <c r="H40" s="2">
        <v>0.1</v>
      </c>
      <c r="I40">
        <f t="shared" si="4"/>
        <v>5752.8</v>
      </c>
      <c r="J40">
        <f t="shared" si="5"/>
        <v>3854.3760000000002</v>
      </c>
      <c r="K40">
        <f t="shared" si="6"/>
        <v>1898.424</v>
      </c>
      <c r="L40" t="str">
        <f t="shared" si="7"/>
        <v>Aug</v>
      </c>
    </row>
    <row r="41" spans="1:12" x14ac:dyDescent="0.35">
      <c r="A41" t="s">
        <v>71</v>
      </c>
      <c r="B41" s="1">
        <v>45899</v>
      </c>
      <c r="C41" t="s">
        <v>21</v>
      </c>
      <c r="D41" t="s">
        <v>14</v>
      </c>
      <c r="E41" t="s">
        <v>39</v>
      </c>
      <c r="F41">
        <v>2</v>
      </c>
      <c r="G41">
        <v>2999</v>
      </c>
      <c r="H41" s="2">
        <v>0.05</v>
      </c>
      <c r="I41">
        <f t="shared" si="4"/>
        <v>5698.0999999999995</v>
      </c>
      <c r="J41">
        <f t="shared" si="5"/>
        <v>3817.7269999999999</v>
      </c>
      <c r="K41">
        <f t="shared" si="6"/>
        <v>1880.3729999999996</v>
      </c>
      <c r="L41" t="str">
        <f t="shared" si="7"/>
        <v>Aug</v>
      </c>
    </row>
    <row r="42" spans="1:12" x14ac:dyDescent="0.35">
      <c r="A42" t="s">
        <v>72</v>
      </c>
      <c r="B42" s="1">
        <v>45905</v>
      </c>
      <c r="C42" t="s">
        <v>9</v>
      </c>
      <c r="D42" t="s">
        <v>10</v>
      </c>
      <c r="E42" t="s">
        <v>25</v>
      </c>
      <c r="F42">
        <v>3</v>
      </c>
      <c r="G42">
        <v>2999</v>
      </c>
      <c r="H42" s="2">
        <v>0.1</v>
      </c>
      <c r="I42">
        <f t="shared" si="4"/>
        <v>8097.3</v>
      </c>
      <c r="J42">
        <f t="shared" si="5"/>
        <v>5425.1910000000007</v>
      </c>
      <c r="K42">
        <f t="shared" si="6"/>
        <v>2672.1089999999995</v>
      </c>
      <c r="L42" t="str">
        <f t="shared" si="7"/>
        <v>Sep</v>
      </c>
    </row>
    <row r="43" spans="1:12" x14ac:dyDescent="0.35">
      <c r="A43" t="s">
        <v>73</v>
      </c>
      <c r="B43" s="1">
        <v>45912</v>
      </c>
      <c r="C43" t="s">
        <v>13</v>
      </c>
      <c r="D43" t="s">
        <v>22</v>
      </c>
      <c r="E43" t="s">
        <v>35</v>
      </c>
      <c r="F43">
        <v>5</v>
      </c>
      <c r="G43">
        <v>2499</v>
      </c>
      <c r="H43" s="2">
        <v>0.15</v>
      </c>
      <c r="I43">
        <f t="shared" si="4"/>
        <v>10620.75</v>
      </c>
      <c r="J43">
        <f t="shared" si="5"/>
        <v>7115.9025000000001</v>
      </c>
      <c r="K43">
        <f t="shared" si="6"/>
        <v>3504.8474999999999</v>
      </c>
      <c r="L43" t="str">
        <f t="shared" si="7"/>
        <v>Sep</v>
      </c>
    </row>
    <row r="44" spans="1:12" x14ac:dyDescent="0.35">
      <c r="A44" t="s">
        <v>74</v>
      </c>
      <c r="B44" s="1">
        <v>45918</v>
      </c>
      <c r="C44" t="s">
        <v>17</v>
      </c>
      <c r="D44" t="s">
        <v>18</v>
      </c>
      <c r="E44" t="s">
        <v>50</v>
      </c>
      <c r="F44">
        <v>25</v>
      </c>
      <c r="G44">
        <v>99</v>
      </c>
      <c r="H44" s="2">
        <v>0</v>
      </c>
      <c r="I44">
        <f t="shared" si="4"/>
        <v>2475</v>
      </c>
      <c r="J44">
        <f t="shared" si="5"/>
        <v>1658.25</v>
      </c>
      <c r="K44">
        <f t="shared" si="6"/>
        <v>816.75</v>
      </c>
      <c r="L44" t="str">
        <f t="shared" si="7"/>
        <v>Sep</v>
      </c>
    </row>
    <row r="45" spans="1:12" x14ac:dyDescent="0.35">
      <c r="A45" t="s">
        <v>75</v>
      </c>
      <c r="B45" s="1">
        <v>45924</v>
      </c>
      <c r="C45" t="s">
        <v>21</v>
      </c>
      <c r="D45" t="s">
        <v>14</v>
      </c>
      <c r="E45" t="s">
        <v>55</v>
      </c>
      <c r="F45">
        <v>10</v>
      </c>
      <c r="G45">
        <v>899</v>
      </c>
      <c r="H45" s="2">
        <v>0.05</v>
      </c>
      <c r="I45">
        <f t="shared" si="4"/>
        <v>8540.5</v>
      </c>
      <c r="J45">
        <f t="shared" si="5"/>
        <v>5722.1350000000002</v>
      </c>
      <c r="K45">
        <f t="shared" si="6"/>
        <v>2818.3649999999998</v>
      </c>
      <c r="L45" t="str">
        <f t="shared" si="7"/>
        <v>Sep</v>
      </c>
    </row>
    <row r="46" spans="1:12" x14ac:dyDescent="0.35">
      <c r="A46" t="s">
        <v>76</v>
      </c>
      <c r="B46" s="1">
        <v>45932</v>
      </c>
      <c r="C46" t="s">
        <v>9</v>
      </c>
      <c r="D46" t="s">
        <v>22</v>
      </c>
      <c r="E46" t="s">
        <v>41</v>
      </c>
      <c r="F46">
        <v>6</v>
      </c>
      <c r="G46">
        <v>1199</v>
      </c>
      <c r="H46" s="2">
        <v>0.1</v>
      </c>
      <c r="I46">
        <f t="shared" si="4"/>
        <v>6474.6</v>
      </c>
      <c r="J46">
        <f t="shared" si="5"/>
        <v>4337.9820000000009</v>
      </c>
      <c r="K46">
        <f t="shared" si="6"/>
        <v>2136.6179999999995</v>
      </c>
      <c r="L46" t="str">
        <f t="shared" si="7"/>
        <v>Oct</v>
      </c>
    </row>
    <row r="47" spans="1:12" x14ac:dyDescent="0.35">
      <c r="A47" t="s">
        <v>77</v>
      </c>
      <c r="B47" s="1">
        <v>45939</v>
      </c>
      <c r="C47" t="s">
        <v>13</v>
      </c>
      <c r="D47" t="s">
        <v>10</v>
      </c>
      <c r="E47" t="s">
        <v>11</v>
      </c>
      <c r="F47">
        <v>5</v>
      </c>
      <c r="G47">
        <v>1499</v>
      </c>
      <c r="H47" s="2">
        <v>0.05</v>
      </c>
      <c r="I47">
        <f t="shared" si="4"/>
        <v>7120.25</v>
      </c>
      <c r="J47">
        <f t="shared" si="5"/>
        <v>4770.5675000000001</v>
      </c>
      <c r="K47">
        <f t="shared" si="6"/>
        <v>2349.6824999999999</v>
      </c>
      <c r="L47" t="str">
        <f t="shared" si="7"/>
        <v>Oct</v>
      </c>
    </row>
    <row r="48" spans="1:12" x14ac:dyDescent="0.35">
      <c r="A48" t="s">
        <v>78</v>
      </c>
      <c r="B48" s="1">
        <v>45946</v>
      </c>
      <c r="C48" t="s">
        <v>17</v>
      </c>
      <c r="D48" t="s">
        <v>14</v>
      </c>
      <c r="E48" t="s">
        <v>15</v>
      </c>
      <c r="F48">
        <v>2</v>
      </c>
      <c r="G48">
        <v>4999</v>
      </c>
      <c r="H48" s="2">
        <v>0.1</v>
      </c>
      <c r="I48">
        <f t="shared" si="4"/>
        <v>8998.2000000000007</v>
      </c>
      <c r="J48">
        <f t="shared" si="5"/>
        <v>6028.7940000000008</v>
      </c>
      <c r="K48">
        <f t="shared" si="6"/>
        <v>2969.4059999999999</v>
      </c>
      <c r="L48" t="str">
        <f t="shared" si="7"/>
        <v>Oct</v>
      </c>
    </row>
    <row r="49" spans="1:12" x14ac:dyDescent="0.35">
      <c r="A49" t="s">
        <v>79</v>
      </c>
      <c r="B49" s="1">
        <v>45952</v>
      </c>
      <c r="C49" t="s">
        <v>21</v>
      </c>
      <c r="D49" t="s">
        <v>18</v>
      </c>
      <c r="E49" t="s">
        <v>44</v>
      </c>
      <c r="F49">
        <v>11</v>
      </c>
      <c r="G49">
        <v>499</v>
      </c>
      <c r="H49" s="2">
        <v>0</v>
      </c>
      <c r="I49">
        <f t="shared" si="4"/>
        <v>5489</v>
      </c>
      <c r="J49">
        <f t="shared" si="5"/>
        <v>3677.63</v>
      </c>
      <c r="K49">
        <f t="shared" si="6"/>
        <v>1811.37</v>
      </c>
      <c r="L49" t="str">
        <f t="shared" si="7"/>
        <v>Oct</v>
      </c>
    </row>
    <row r="50" spans="1:12" x14ac:dyDescent="0.35">
      <c r="A50" t="s">
        <v>80</v>
      </c>
      <c r="B50" s="1">
        <v>45959</v>
      </c>
      <c r="C50" t="s">
        <v>9</v>
      </c>
      <c r="D50" t="s">
        <v>10</v>
      </c>
      <c r="E50" t="s">
        <v>31</v>
      </c>
      <c r="F50">
        <v>7</v>
      </c>
      <c r="G50">
        <v>999</v>
      </c>
      <c r="H50" s="2">
        <v>0.05</v>
      </c>
      <c r="I50">
        <f t="shared" si="4"/>
        <v>6643.3499999999995</v>
      </c>
      <c r="J50">
        <f t="shared" si="5"/>
        <v>4451.0445</v>
      </c>
      <c r="K50">
        <f t="shared" si="6"/>
        <v>2192.3054999999995</v>
      </c>
      <c r="L50" t="str">
        <f t="shared" si="7"/>
        <v>Oct</v>
      </c>
    </row>
    <row r="51" spans="1:12" x14ac:dyDescent="0.35">
      <c r="A51" t="s">
        <v>81</v>
      </c>
      <c r="B51" s="1">
        <v>45966</v>
      </c>
      <c r="C51" t="s">
        <v>13</v>
      </c>
      <c r="D51" t="s">
        <v>22</v>
      </c>
      <c r="E51" t="s">
        <v>23</v>
      </c>
      <c r="F51">
        <v>12</v>
      </c>
      <c r="G51">
        <v>699</v>
      </c>
      <c r="H51" s="2">
        <v>0</v>
      </c>
      <c r="I51">
        <f t="shared" si="4"/>
        <v>8388</v>
      </c>
      <c r="J51">
        <f t="shared" si="5"/>
        <v>5619.96</v>
      </c>
      <c r="K51">
        <f t="shared" si="6"/>
        <v>2768.04</v>
      </c>
      <c r="L51" t="str">
        <f t="shared" si="7"/>
        <v>Nov</v>
      </c>
    </row>
    <row r="52" spans="1:12" x14ac:dyDescent="0.35">
      <c r="A52" t="s">
        <v>82</v>
      </c>
      <c r="B52" s="1">
        <v>45973</v>
      </c>
      <c r="C52" t="s">
        <v>17</v>
      </c>
      <c r="D52" t="s">
        <v>14</v>
      </c>
      <c r="E52" t="s">
        <v>29</v>
      </c>
      <c r="F52">
        <v>3</v>
      </c>
      <c r="G52">
        <v>3999</v>
      </c>
      <c r="H52" s="2">
        <v>0.05</v>
      </c>
      <c r="I52">
        <f t="shared" si="4"/>
        <v>11397.15</v>
      </c>
      <c r="J52">
        <f t="shared" si="5"/>
        <v>7636.0905000000002</v>
      </c>
      <c r="K52">
        <f t="shared" si="6"/>
        <v>3761.0594999999994</v>
      </c>
      <c r="L52" t="str">
        <f t="shared" si="7"/>
        <v>Nov</v>
      </c>
    </row>
    <row r="53" spans="1:12" x14ac:dyDescent="0.35">
      <c r="A53" t="s">
        <v>83</v>
      </c>
      <c r="B53" s="1">
        <v>45980</v>
      </c>
      <c r="C53" t="s">
        <v>21</v>
      </c>
      <c r="D53" t="s">
        <v>10</v>
      </c>
      <c r="E53" t="s">
        <v>25</v>
      </c>
      <c r="F53">
        <v>4</v>
      </c>
      <c r="G53">
        <v>2999</v>
      </c>
      <c r="H53" s="2">
        <v>0.1</v>
      </c>
      <c r="I53">
        <f t="shared" si="4"/>
        <v>10796.4</v>
      </c>
      <c r="J53">
        <f t="shared" si="5"/>
        <v>7233.5879999999997</v>
      </c>
      <c r="K53">
        <f t="shared" si="6"/>
        <v>3562.8119999999999</v>
      </c>
      <c r="L53" t="str">
        <f t="shared" si="7"/>
        <v>Nov</v>
      </c>
    </row>
    <row r="54" spans="1:12" x14ac:dyDescent="0.35">
      <c r="A54" t="s">
        <v>84</v>
      </c>
      <c r="B54" s="1">
        <v>45987</v>
      </c>
      <c r="C54" t="s">
        <v>9</v>
      </c>
      <c r="D54" t="s">
        <v>18</v>
      </c>
      <c r="E54" t="s">
        <v>33</v>
      </c>
      <c r="F54">
        <v>20</v>
      </c>
      <c r="G54">
        <v>149</v>
      </c>
      <c r="H54" s="2">
        <v>0</v>
      </c>
      <c r="I54">
        <f t="shared" si="4"/>
        <v>2980</v>
      </c>
      <c r="J54">
        <f t="shared" si="5"/>
        <v>1996.6000000000001</v>
      </c>
      <c r="K54">
        <f t="shared" si="6"/>
        <v>983.39999999999986</v>
      </c>
      <c r="L54" t="str">
        <f t="shared" si="7"/>
        <v>Nov</v>
      </c>
    </row>
    <row r="55" spans="1:12" x14ac:dyDescent="0.35">
      <c r="A55" t="s">
        <v>85</v>
      </c>
      <c r="B55" s="1">
        <v>45994</v>
      </c>
      <c r="C55" t="s">
        <v>13</v>
      </c>
      <c r="D55" t="s">
        <v>22</v>
      </c>
      <c r="E55" t="s">
        <v>27</v>
      </c>
      <c r="F55">
        <v>6</v>
      </c>
      <c r="G55">
        <v>1299</v>
      </c>
      <c r="H55" s="2">
        <v>0.05</v>
      </c>
      <c r="I55">
        <f t="shared" si="4"/>
        <v>7404.2999999999993</v>
      </c>
      <c r="J55">
        <f t="shared" si="5"/>
        <v>4960.8809999999994</v>
      </c>
      <c r="K55">
        <f t="shared" si="6"/>
        <v>2443.4189999999999</v>
      </c>
      <c r="L55" t="str">
        <f t="shared" si="7"/>
        <v>Dec</v>
      </c>
    </row>
    <row r="56" spans="1:12" x14ac:dyDescent="0.35">
      <c r="A56" t="s">
        <v>86</v>
      </c>
      <c r="B56" s="1">
        <v>46001</v>
      </c>
      <c r="C56" t="s">
        <v>17</v>
      </c>
      <c r="D56" t="s">
        <v>10</v>
      </c>
      <c r="E56" t="s">
        <v>37</v>
      </c>
      <c r="F56">
        <v>9</v>
      </c>
      <c r="G56">
        <v>799</v>
      </c>
      <c r="H56" s="2">
        <v>0.1</v>
      </c>
      <c r="I56">
        <f t="shared" si="4"/>
        <v>6471.9000000000005</v>
      </c>
      <c r="J56">
        <f t="shared" si="5"/>
        <v>4336.1730000000007</v>
      </c>
      <c r="K56">
        <f t="shared" si="6"/>
        <v>2135.7269999999999</v>
      </c>
      <c r="L56" t="str">
        <f t="shared" si="7"/>
        <v>Dec</v>
      </c>
    </row>
    <row r="57" spans="1:12" x14ac:dyDescent="0.35">
      <c r="A57" t="s">
        <v>87</v>
      </c>
      <c r="B57" s="1">
        <v>46008</v>
      </c>
      <c r="C57" t="s">
        <v>21</v>
      </c>
      <c r="D57" t="s">
        <v>14</v>
      </c>
      <c r="E57" t="s">
        <v>15</v>
      </c>
      <c r="F57">
        <v>3</v>
      </c>
      <c r="G57">
        <v>4999</v>
      </c>
      <c r="H57" s="2">
        <v>0.05</v>
      </c>
      <c r="I57">
        <f t="shared" si="4"/>
        <v>14247.15</v>
      </c>
      <c r="J57">
        <f t="shared" si="5"/>
        <v>9545.5905000000002</v>
      </c>
      <c r="K57">
        <f t="shared" si="6"/>
        <v>4701.5594999999994</v>
      </c>
      <c r="L57" t="str">
        <f t="shared" si="7"/>
        <v>Dec</v>
      </c>
    </row>
    <row r="58" spans="1:12" x14ac:dyDescent="0.35">
      <c r="A58" t="s">
        <v>88</v>
      </c>
      <c r="B58" s="1">
        <v>46013</v>
      </c>
      <c r="C58" t="s">
        <v>9</v>
      </c>
      <c r="D58" t="s">
        <v>22</v>
      </c>
      <c r="E58" t="s">
        <v>35</v>
      </c>
      <c r="F58">
        <v>4</v>
      </c>
      <c r="G58">
        <v>2499</v>
      </c>
      <c r="H58" s="2">
        <v>0.15</v>
      </c>
      <c r="I58">
        <f t="shared" si="4"/>
        <v>8496.6</v>
      </c>
      <c r="J58">
        <f t="shared" si="5"/>
        <v>5692.7220000000007</v>
      </c>
      <c r="K58">
        <f t="shared" si="6"/>
        <v>2803.8779999999997</v>
      </c>
      <c r="L58" t="str">
        <f t="shared" si="7"/>
        <v>Dec</v>
      </c>
    </row>
    <row r="59" spans="1:12" x14ac:dyDescent="0.35">
      <c r="A59" t="s">
        <v>89</v>
      </c>
      <c r="B59" s="1">
        <v>46018</v>
      </c>
      <c r="C59" t="s">
        <v>13</v>
      </c>
      <c r="D59" t="s">
        <v>18</v>
      </c>
      <c r="E59" t="s">
        <v>19</v>
      </c>
      <c r="F59">
        <v>30</v>
      </c>
      <c r="G59">
        <v>199</v>
      </c>
      <c r="H59" s="2">
        <v>0</v>
      </c>
      <c r="I59">
        <f t="shared" si="4"/>
        <v>5970</v>
      </c>
      <c r="J59">
        <f t="shared" si="5"/>
        <v>3999.9</v>
      </c>
      <c r="K59">
        <f t="shared" si="6"/>
        <v>1970.1</v>
      </c>
      <c r="L59" t="str">
        <f t="shared" si="7"/>
        <v>Dec</v>
      </c>
    </row>
    <row r="60" spans="1:12" x14ac:dyDescent="0.35">
      <c r="A60" t="s">
        <v>90</v>
      </c>
      <c r="B60" s="1">
        <v>46019</v>
      </c>
      <c r="C60" t="s">
        <v>17</v>
      </c>
      <c r="D60" t="s">
        <v>14</v>
      </c>
      <c r="E60" t="s">
        <v>39</v>
      </c>
      <c r="F60">
        <v>4</v>
      </c>
      <c r="G60">
        <v>2999</v>
      </c>
      <c r="H60" s="2">
        <v>0.1</v>
      </c>
      <c r="I60">
        <f t="shared" si="4"/>
        <v>10796.4</v>
      </c>
      <c r="J60">
        <f t="shared" si="5"/>
        <v>7233.5879999999997</v>
      </c>
      <c r="K60">
        <f t="shared" si="6"/>
        <v>3562.8119999999999</v>
      </c>
      <c r="L60" t="str">
        <f t="shared" si="7"/>
        <v>Dec</v>
      </c>
    </row>
    <row r="61" spans="1:12" x14ac:dyDescent="0.35">
      <c r="A61" t="s">
        <v>91</v>
      </c>
      <c r="B61" s="1">
        <v>46021</v>
      </c>
      <c r="C61" t="s">
        <v>21</v>
      </c>
      <c r="D61" t="s">
        <v>10</v>
      </c>
      <c r="E61" t="s">
        <v>11</v>
      </c>
      <c r="F61">
        <v>6</v>
      </c>
      <c r="G61">
        <v>1499</v>
      </c>
      <c r="H61" s="2">
        <v>0.05</v>
      </c>
      <c r="I61">
        <f t="shared" si="4"/>
        <v>8544.2999999999993</v>
      </c>
      <c r="J61">
        <f t="shared" si="5"/>
        <v>5724.6809999999996</v>
      </c>
      <c r="K61">
        <f t="shared" si="6"/>
        <v>2819.6189999999997</v>
      </c>
      <c r="L61" t="str">
        <f t="shared" si="7"/>
        <v>Dec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B58D-25CC-4CB9-BFC0-74E62F73300F}">
  <dimension ref="A1"/>
  <sheetViews>
    <sheetView showGridLines="0" zoomScale="86" workbookViewId="0">
      <selection activeCell="O34" sqref="O3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642B-A08A-4235-9B8C-977E3F2FBD47}">
  <dimension ref="A1:E11"/>
  <sheetViews>
    <sheetView zoomScale="152" workbookViewId="0">
      <selection activeCell="D11" sqref="D11"/>
    </sheetView>
  </sheetViews>
  <sheetFormatPr defaultRowHeight="14.5" x14ac:dyDescent="0.35"/>
  <cols>
    <col min="1" max="1" width="17.36328125" customWidth="1"/>
    <col min="4" max="4" width="21.7265625" bestFit="1" customWidth="1"/>
    <col min="5" max="5" width="11.90625" bestFit="1" customWidth="1"/>
  </cols>
  <sheetData>
    <row r="1" spans="1:5" ht="23.5" x14ac:dyDescent="0.55000000000000004">
      <c r="A1" s="7" t="s">
        <v>128</v>
      </c>
    </row>
    <row r="2" spans="1:5" ht="14.5" customHeight="1" x14ac:dyDescent="0.55000000000000004">
      <c r="A2" s="7"/>
    </row>
    <row r="4" spans="1:5" x14ac:dyDescent="0.35">
      <c r="A4" t="s">
        <v>96</v>
      </c>
      <c r="B4" t="s">
        <v>97</v>
      </c>
      <c r="D4" t="s">
        <v>105</v>
      </c>
      <c r="E4" t="s">
        <v>127</v>
      </c>
    </row>
    <row r="5" spans="1:5" x14ac:dyDescent="0.35">
      <c r="A5" t="s">
        <v>98</v>
      </c>
      <c r="B5">
        <f>SUM(Working_Formula!I2:I61)</f>
        <v>381230.85000000009</v>
      </c>
      <c r="D5" t="s">
        <v>106</v>
      </c>
      <c r="E5">
        <f>SUMIFS(Working_Formula!I2:I61,Working_Formula!C2:C61,"North")</f>
        <v>79516.800000000017</v>
      </c>
    </row>
    <row r="6" spans="1:5" x14ac:dyDescent="0.35">
      <c r="A6" t="s">
        <v>99</v>
      </c>
      <c r="B6">
        <f>SUM(Working_Formula!J2:J61)</f>
        <v>255424.66949999996</v>
      </c>
      <c r="D6" t="s">
        <v>108</v>
      </c>
      <c r="E6">
        <f>COUNTIFS(Working_Formula!D2:D61,"Electronics")</f>
        <v>18</v>
      </c>
    </row>
    <row r="7" spans="1:5" x14ac:dyDescent="0.35">
      <c r="A7" t="s">
        <v>100</v>
      </c>
      <c r="B7">
        <f>SUM(Working_Formula!K2:K61)</f>
        <v>125806.18050000002</v>
      </c>
      <c r="D7" t="s">
        <v>107</v>
      </c>
      <c r="E7">
        <f>AVERAGEIFS(Working_Formula!I2:I61,Working_Formula!D2:D61,"Electronics")</f>
        <v>6713.1138888888891</v>
      </c>
    </row>
    <row r="8" spans="1:5" x14ac:dyDescent="0.35">
      <c r="A8" t="s">
        <v>101</v>
      </c>
      <c r="B8">
        <f>COUNTA(Working_Formula!A2:A61)</f>
        <v>60</v>
      </c>
    </row>
    <row r="9" spans="1:5" x14ac:dyDescent="0.35">
      <c r="A9" t="s">
        <v>102</v>
      </c>
      <c r="B9">
        <f>SUM(Working_Formula!F2:F61)</f>
        <v>404</v>
      </c>
    </row>
    <row r="10" spans="1:5" x14ac:dyDescent="0.35">
      <c r="A10" t="s">
        <v>103</v>
      </c>
      <c r="B10">
        <f>AVERAGE(Working_Formula!I2:I61)</f>
        <v>6353.8475000000017</v>
      </c>
    </row>
    <row r="11" spans="1:5" x14ac:dyDescent="0.35">
      <c r="A11" t="s">
        <v>104</v>
      </c>
      <c r="B11" s="3">
        <f>B7/B5</f>
        <v>0.32999999999999996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Pivot_Analysis</vt:lpstr>
      <vt:lpstr>Working_Formula</vt:lpstr>
      <vt:lpstr>Dashboard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sharma</dc:creator>
  <cp:lastModifiedBy>madhur sharma</cp:lastModifiedBy>
  <dcterms:created xsi:type="dcterms:W3CDTF">2026-09-12T03:53:49Z</dcterms:created>
  <dcterms:modified xsi:type="dcterms:W3CDTF">2026-09-12T09:12:17Z</dcterms:modified>
</cp:coreProperties>
</file>